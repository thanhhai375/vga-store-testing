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Kiểm chứng phần mềm\excel\"/>
    </mc:Choice>
  </mc:AlternateContent>
  <xr:revisionPtr revIDLastSave="0" documentId="13_ncr:1_{ABC9E590-0C36-4BEA-8A5B-46B597BDB10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roduct_TestCases" sheetId="5" r:id="rId1"/>
    <sheet name="API_Reference" sheetId="2" r:id="rId2"/>
    <sheet name="Execution_Log" sheetId="6" r:id="rId3"/>
    <sheet name="Summa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4" l="1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<sst xmlns="http://schemas.openxmlformats.org/spreadsheetml/2006/main" count="819" uniqueCount="288">
  <si>
    <t>VGA STORE – PRODUCT MODULE TEST CASES</t>
  </si>
  <si>
    <t>TC_ID</t>
  </si>
  <si>
    <t>Module</t>
  </si>
  <si>
    <t>Method</t>
  </si>
  <si>
    <t>Endpoint</t>
  </si>
  <si>
    <t>Test Case</t>
  </si>
  <si>
    <t>Precondition</t>
  </si>
  <si>
    <t>Test Steps</t>
  </si>
  <si>
    <t>Test Data</t>
  </si>
  <si>
    <t>Expected Result</t>
  </si>
  <si>
    <t>Priority</t>
  </si>
  <si>
    <t>Status</t>
  </si>
  <si>
    <t>TC_PROD_001</t>
  </si>
  <si>
    <t>Product</t>
  </si>
  <si>
    <t>GET</t>
  </si>
  <si>
    <t>/api/products</t>
  </si>
  <si>
    <t>Hiển thị danh sách VGA hợp lệ</t>
  </si>
  <si>
    <t>Người dùng truy cập trang sản phẩm</t>
  </si>
  <si>
    <t>High</t>
  </si>
  <si>
    <t>Not Run</t>
  </si>
  <si>
    <t>TC_PROD_002</t>
  </si>
  <si>
    <t>Kiểm tra số lượng sản phẩm hiển thị</t>
  </si>
  <si>
    <t>Đã có dữ liệu VGA trong database</t>
  </si>
  <si>
    <t>Không có bộ lọc</t>
  </si>
  <si>
    <t>Số lượng sản phẩm hiển thị đúng với dữ liệu hệ thống</t>
  </si>
  <si>
    <t>Medium</t>
  </si>
  <si>
    <t>TC_PROD_003</t>
  </si>
  <si>
    <t>Kiểm tra hình ảnh VGA hiển thị</t>
  </si>
  <si>
    <t>Đã có dữ liệu hình ảnh</t>
  </si>
  <si>
    <t>TC_PROD_004</t>
  </si>
  <si>
    <t>Kiểm tra giá VGA hiển thị đúng</t>
  </si>
  <si>
    <t>Đã có dữ liệu giá</t>
  </si>
  <si>
    <t>TC_PROD_005</t>
  </si>
  <si>
    <t>Kiểm tra tên hãng VGA hiển thị đúng</t>
  </si>
  <si>
    <t>Đã có dữ liệu hãng</t>
  </si>
  <si>
    <t>Tên hãng VGA hiển thị chính xác</t>
  </si>
  <si>
    <t>Low</t>
  </si>
  <si>
    <t>TC_PROD_006</t>
  </si>
  <si>
    <t>Kiểm tra phân trang trang đầu tiên</t>
  </si>
  <si>
    <t>TC_PROD_007</t>
  </si>
  <si>
    <t>Chuyển sang trang tiếp theo</t>
  </si>
  <si>
    <t>Có nhiều trang dữ liệu</t>
  </si>
  <si>
    <t>TC_PROD_013</t>
  </si>
  <si>
    <t>Tìm kiếm chính xác tên sản phẩm</t>
  </si>
  <si>
    <t>Sản phẩm cần tìm tồn tại</t>
  </si>
  <si>
    <t>search="RTX 4060"</t>
  </si>
  <si>
    <t>Danh sách hiển thị chính xác sản phẩm có tên trùng khớp</t>
  </si>
  <si>
    <t>TC_PROD_014</t>
  </si>
  <si>
    <t>Tìm kiếm không dấu hoặc chữ thường</t>
  </si>
  <si>
    <t>search="vga rtx"</t>
  </si>
  <si>
    <t>Hệ thống vẫn tìm ra sản phẩm phù hợp không phân biệt hoa/thường</t>
  </si>
  <si>
    <t>TC_PROD_015</t>
  </si>
  <si>
    <t>Lọc sản phẩm theo giá thấp đến cao</t>
  </si>
  <si>
    <t>sortBy="priceAsc"</t>
  </si>
  <si>
    <t>TC_PROD_016</t>
  </si>
  <si>
    <t>Lọc sản phẩm theo giá cao đến thấp</t>
  </si>
  <si>
    <t>sortBy="priceDesc"</t>
  </si>
  <si>
    <t>TC_PROD_017</t>
  </si>
  <si>
    <t>Lọc sản phẩm theo hãng NVIDIA</t>
  </si>
  <si>
    <t>brand="NVIDIA"</t>
  </si>
  <si>
    <t>TC_PROD_018</t>
  </si>
  <si>
    <t>Lọc sản phẩm theo hãng AMD</t>
  </si>
  <si>
    <t>brand="AMD"</t>
  </si>
  <si>
    <t>TC_PROD_019</t>
  </si>
  <si>
    <t>Kết hợp lọc giá và hãng</t>
  </si>
  <si>
    <t>TC_PROD_020</t>
  </si>
  <si>
    <t>/api/products/{id}</t>
  </si>
  <si>
    <t>Xem chi tiết sản phẩm VGA</t>
  </si>
  <si>
    <t>TC_PROD_021</t>
  </si>
  <si>
    <t>Kiểm tra thông số kỹ thuật VGA</t>
  </si>
  <si>
    <t>id=1</t>
  </si>
  <si>
    <t>TC_PROD_022</t>
  </si>
  <si>
    <t>Kiểm tra hình ảnh trong trang chi tiết</t>
  </si>
  <si>
    <t>High Priority</t>
  </si>
  <si>
    <t>Medium Priority</t>
  </si>
  <si>
    <t>Pass</t>
  </si>
  <si>
    <t>Fail</t>
  </si>
  <si>
    <t>POST TCs</t>
  </si>
  <si>
    <t>GET TCs</t>
  </si>
  <si>
    <t>PUT TCs</t>
  </si>
  <si>
    <t>DELETE TCs</t>
  </si>
  <si>
    <t>Pass Rate (%)</t>
  </si>
  <si>
    <t>1. Mở trang VGA</t>
  </si>
  <si>
    <t>Hình ảnh VGA hiển thị đúng không bị lỗi</t>
  </si>
  <si>
    <t>Giá VGA hiển thị đúng định dạng tiền tệ</t>
  </si>
  <si>
    <t>Có hơn 10 sản phẩm</t>
  </si>
  <si>
    <t>1. Nhấn nút Next</t>
  </si>
  <si>
    <t>1. Nhập từ khóa tìm kiếm</t>
  </si>
  <si>
    <t>1. Nhập từ khóa chữ thường</t>
  </si>
  <si>
    <t>Có dữ liệu giá</t>
  </si>
  <si>
    <t>1. Chọn lọc giá thấp đến cao</t>
  </si>
  <si>
    <t>Danh sách sản phẩm sắp xếp đúng tăng dần theo giá</t>
  </si>
  <si>
    <t>1. Chọn lọc giá cao đến thấp</t>
  </si>
  <si>
    <t>Danh sách sản phẩm sắp xếp đúng giảm dần theo giá</t>
  </si>
  <si>
    <t>Có sản phẩm NVIDIA</t>
  </si>
  <si>
    <t>1. Chọn hãng NVIDIA</t>
  </si>
  <si>
    <t>Chỉ hiển thị sản phẩm NVIDIA</t>
  </si>
  <si>
    <t>Có sản phẩm AMD</t>
  </si>
  <si>
    <t>1. Chọn hãng AMD</t>
  </si>
  <si>
    <t>Chỉ hiển thị sản phẩm AMD</t>
  </si>
  <si>
    <t>Có dữ liệu phù hợp</t>
  </si>
  <si>
    <t>1. Chọn hãng 2. Chọn khoảng giá</t>
  </si>
  <si>
    <t>Có dữ liệu sản phẩm</t>
  </si>
  <si>
    <t>1. Nhấn vào sản phẩm VGA</t>
  </si>
  <si>
    <t>Trang chi tiết sản phẩm hiển thị đầy đủ thông tin</t>
  </si>
  <si>
    <t>Có dữ liệu thông số</t>
  </si>
  <si>
    <t>1. Mở chi tiết VGA</t>
  </si>
  <si>
    <t>Thông số kỹ thuật hiển thị chính xác</t>
  </si>
  <si>
    <t>Có dữ liệu hình ảnh</t>
  </si>
  <si>
    <t>Hình ảnh liên quan hiển thị đầy đủ</t>
  </si>
  <si>
    <t>TC_PROD_023</t>
  </si>
  <si>
    <t>Kiểm tra giá trong trang chi tiết</t>
  </si>
  <si>
    <t>Giá sản phẩm hiển thị chính xác</t>
  </si>
  <si>
    <t>TC_PROD_024</t>
  </si>
  <si>
    <t>Kiểm tra truy cập sản phẩm không tồn tại</t>
  </si>
  <si>
    <t>Không có sản phẩm ID giả</t>
  </si>
  <si>
    <t>1. Truy cập URL sản phẩm không tồn tại</t>
  </si>
  <si>
    <t>id=99999</t>
  </si>
  <si>
    <t>TC_PROD_025</t>
  </si>
  <si>
    <t>POST</t>
  </si>
  <si>
    <t>Thêm mới sản phẩm VGA thành công</t>
  </si>
  <si>
    <t>Tài khoản Admin đã đăng nhập</t>
  </si>
  <si>
    <t>1. Gửi request thêm sản phẩm hợp lệ</t>
  </si>
  <si>
    <t>Body mẫu đầy đủ thông tin</t>
  </si>
  <si>
    <t>Hệ thống tạo sản phẩm thành công, trả về code 201</t>
  </si>
  <si>
    <t>TC_PROD_026</t>
  </si>
  <si>
    <t>Thêm mới sản phẩm thiếu thông tin bắt buộc</t>
  </si>
  <si>
    <t>Hệ thống báo lỗi Validation và trả về code 400</t>
  </si>
  <si>
    <t>TC_PROD_027</t>
  </si>
  <si>
    <t>PUT</t>
  </si>
  <si>
    <t>Cập nhật thông tin sản phẩm thành công</t>
  </si>
  <si>
    <t>Tài khoản Admin, sản phẩm có sẵn</t>
  </si>
  <si>
    <t>1. Gửi request cập nhật thông tin mới</t>
  </si>
  <si>
    <t>Thông tin sản phẩm được cập nhật, trả về code 200</t>
  </si>
  <si>
    <t>TC_PROD_028</t>
  </si>
  <si>
    <t>Cập nhật sản phẩm không tồn tại</t>
  </si>
  <si>
    <t>1. Gửi request cập nhật cho ID giả</t>
  </si>
  <si>
    <t>Hệ thống trả về lỗi không tìm thấy sản phẩm 404</t>
  </si>
  <si>
    <t>TC_PROD_029</t>
  </si>
  <si>
    <t>DELETE</t>
  </si>
  <si>
    <t>Xóa sản phẩm thành công</t>
  </si>
  <si>
    <t>1. Gửi request xóa theo ID</t>
  </si>
  <si>
    <t>TC_PROD_030</t>
  </si>
  <si>
    <t>Xóa sản phẩm không có quyền (User thường)</t>
  </si>
  <si>
    <t>Tài khoản User thường đăng nhập</t>
  </si>
  <si>
    <t>1. Gửi request xóa sản phẩm bằng token user</t>
  </si>
  <si>
    <t>Hệ thống từ chối, báo lỗi Forbidden 403</t>
  </si>
  <si>
    <t>Total Test Cases</t>
  </si>
  <si>
    <t>Low Priority</t>
  </si>
  <si>
    <t>Danh sách VGA hiển thị đầy đủ với hình ảnh tên giá và hãng</t>
  </si>
  <si>
    <t>page=1</t>
  </si>
  <si>
    <t>page=2</t>
  </si>
  <si>
    <t>Hiển thị thông báo lỗi hoặc 404</t>
  </si>
  <si>
    <t>1. Gửi request thiếu trường name</t>
  </si>
  <si>
    <t>Body không có name</t>
  </si>
  <si>
    <t>id=1, Body sửa giá/tên</t>
  </si>
  <si>
    <t>id=99999, Body sửa đổi</t>
  </si>
  <si>
    <t>Sản phẩm bị xóa khỏi hệ thống, trả về code 200</t>
  </si>
  <si>
    <t>Request Headers</t>
  </si>
  <si>
    <t>Request Body</t>
  </si>
  <si>
    <t>Expected HTTP Code</t>
  </si>
  <si>
    <t>Expected Response</t>
  </si>
  <si>
    <t>Content-Type: application/json</t>
  </si>
  <si>
    <t>(none)</t>
  </si>
  <si>
    <t>products: [</t>
  </si>
  <si>
    <t>totalItems:</t>
  </si>
  <si>
    <t>imageUrl:</t>
  </si>
  <si>
    <t>price:</t>
  </si>
  <si>
    <t>brand:</t>
  </si>
  <si>
    <t>/api/products?page=1&amp;limit=10</t>
  </si>
  <si>
    <t>currentPage: 1</t>
  </si>
  <si>
    <t>/api/products?page=2&amp;limit=10</t>
  </si>
  <si>
    <t>currentPage: 2</t>
  </si>
  <si>
    <t>/api/products?search=RTX 4060</t>
  </si>
  <si>
    <t>name: "RTX 4060"</t>
  </si>
  <si>
    <t>/api/products?search=vga rtx</t>
  </si>
  <si>
    <t>/api/products?sortBy=priceAsc</t>
  </si>
  <si>
    <t>/api/products?sortBy=priceDesc</t>
  </si>
  <si>
    <t>/api/products?brand=NVIDIA</t>
  </si>
  <si>
    <t>brand: "NVIDIA"</t>
  </si>
  <si>
    <t>/api/products?brand=AMD</t>
  </si>
  <si>
    <t>brand: "AMD"</t>
  </si>
  <si>
    <t>/api/products?brand=NVIDIA&amp;minPrice=5000000&amp;maxPrice=15000000</t>
  </si>
  <si>
    <t>/api/products/1</t>
  </si>
  <si>
    <t>id: 1</t>
  </si>
  <si>
    <t>specifications:</t>
  </si>
  <si>
    <t>images:</t>
  </si>
  <si>
    <t>/api/products/99999</t>
  </si>
  <si>
    <t>error</t>
  </si>
  <si>
    <t>Authorization: Bearer {{adminToken}}\nContent-Type: application/json</t>
  </si>
  <si>
    <t>{"name":"VGA RTX 5090","price":45000000,"brand":"NVIDIA"}</t>
  </si>
  <si>
    <t>message: "Thêm thành công"</t>
  </si>
  <si>
    <t>{"price":45000000,"brand":"NVIDIA"}</t>
  </si>
  <si>
    <t>validationError</t>
  </si>
  <si>
    <t>{"price":12500000}</t>
  </si>
  <si>
    <t>message: "Cập nhật thành công"</t>
  </si>
  <si>
    <t>Authorization: Bearer {{adminToken}}</t>
  </si>
  <si>
    <t>message: "Xóa thành công"</t>
  </si>
  <si>
    <t>Authorization: Bearer {{userToken}}</t>
  </si>
  <si>
    <t>message: "Không có quyền truy cập"</t>
  </si>
  <si>
    <t xml:space="preserve"> limit=10&amp;Trang đầu tiên hiển thị đúng số lượng sản phẩm</t>
  </si>
  <si>
    <t xml:space="preserve"> limit=10&amp;Hệ thống trả về dữ liệu thuộc trang tiếp theo chính xác</t>
  </si>
  <si>
    <t xml:space="preserve"> minPrice=5000000&amp; maxPrice=15000000, Kết quả hiển thị đúng điều kiện lọc</t>
  </si>
  <si>
    <t>Expected Status</t>
  </si>
  <si>
    <t>Actual Status</t>
  </si>
  <si>
    <t>Response Code</t>
  </si>
  <si>
    <t>Response Body (snippet)</t>
  </si>
  <si>
    <t>Result</t>
  </si>
  <si>
    <t>Tester</t>
  </si>
  <si>
    <t>Executed Date</t>
  </si>
  <si>
    <t>📊 PRODUCT MODULE – TEST SUMMARY DASHBOARD</t>
  </si>
  <si>
    <t>Lọc giá với minPrice bằng 0</t>
  </si>
  <si>
    <t>Danh sách VGA hiển thị đúng khoảng giá, HTTP Code 200</t>
  </si>
  <si>
    <t>TC_PROD_031</t>
  </si>
  <si>
    <t>Lọc giá lỗi - minPrice là số âm</t>
  </si>
  <si>
    <t>minPrice=-1500000</t>
  </si>
  <si>
    <t>Hệ thống báo lỗi "Giá không được nhỏ hơn 0", HTTP Code 400</t>
  </si>
  <si>
    <t>TC_PROD_032</t>
  </si>
  <si>
    <t>Lọc giá lỗi - maxPrice là số âm</t>
  </si>
  <si>
    <t>maxPrice=-5000000</t>
  </si>
  <si>
    <t>TC_PROD_033</t>
  </si>
  <si>
    <t>Lọc giá biên - logic minPrice lớn hơn maxPrice</t>
  </si>
  <si>
    <t>Hệ thống báo lỗi khoảng giá không hợp lệ, HTTP Code 400</t>
  </si>
  <si>
    <t>TC_PROD_034</t>
  </si>
  <si>
    <t>Lọc giá biên - maxPrice bằng 0</t>
  </si>
  <si>
    <t>Trả về danh sách rỗng hoặc sản phẩm giá 0đ, HTTP Code 200</t>
  </si>
  <si>
    <t>TC_PROD_035</t>
  </si>
  <si>
    <t>Lọc giá lỗi - minPrice bị tràn số (Overflow)</t>
  </si>
  <si>
    <t>minPrice=9999999999999999</t>
  </si>
  <si>
    <t>Hệ thống báo lỗi giá trị vượt quá giới hạn, HTTP Code 400</t>
  </si>
  <si>
    <t>TC_PROD_036</t>
  </si>
  <si>
    <t>Lọc giá lỗi - maxPrice bị tràn số (Overflow)</t>
  </si>
  <si>
    <t>maxPrice=9999999999999999</t>
  </si>
  <si>
    <t>TC_PROD_037</t>
  </si>
  <si>
    <t>Phân trang lỗi - Số lượng trang (page) bằng 0</t>
  </si>
  <si>
    <t>Hệ thống báo lỗi số trang không hợp lệ, HTTP Code 400</t>
  </si>
  <si>
    <t>TC_PROD_038</t>
  </si>
  <si>
    <t>Phân trang lỗi - Số lượng trang (page) là số âm</t>
  </si>
  <si>
    <t>TC_PROD_039</t>
  </si>
  <si>
    <t>Phân trang lỗi - Số lượng hiển thị (limit) bằng 0</t>
  </si>
  <si>
    <t>Hệ thống báo lỗi kích thước trang không hợp lệ, HTTP Code 400</t>
  </si>
  <si>
    <t>TC_PROD_040</t>
  </si>
  <si>
    <t>Phân trang lỗi - Số lượng hiển thị (limit) âm</t>
  </si>
  <si>
    <t>TC_PROD_041</t>
  </si>
  <si>
    <t>minPrice=20000000, maxPrice=5000000</t>
  </si>
  <si>
    <t>1. Chọn khoảng maxPrice bằng 0</t>
  </si>
  <si>
    <t>minPrice=0, maxPrice=0</t>
  </si>
  <si>
    <t>page=0, limit=10</t>
  </si>
  <si>
    <t>page=-5, limit=10</t>
  </si>
  <si>
    <t>page=1, limit=0</t>
  </si>
  <si>
    <t>page=1, limit=-10</t>
  </si>
  <si>
    <t>page=9999, limit=10</t>
  </si>
  <si>
    <t>/api/products?minPrice=0&amp;maxPrice=20000000</t>
  </si>
  <si>
    <t>products: [...]</t>
  </si>
  <si>
    <t>/api/products?minPrice=-1500000</t>
  </si>
  <si>
    <t>{"error": "Giá không được nhỏ hơn 0"}</t>
  </si>
  <si>
    <t>/api/products?maxPrice=-5000000</t>
  </si>
  <si>
    <t>/api/products?minPrice=20000000&amp;maxPrice=5000000</t>
  </si>
  <si>
    <t>{"error": "Khoảng giá minPrice không được lớn hơn maxPrice"}</t>
  </si>
  <si>
    <t>/api/products?minPrice=0&amp;maxPrice=0</t>
  </si>
  <si>
    <t>/api/products?minPrice=9999999999999999</t>
  </si>
  <si>
    <t>{"error": "Giá trị vượt quá giới hạn cho phép (Overflow)"}</t>
  </si>
  <si>
    <t>/api/products?maxPrice=9999999999999999</t>
  </si>
  <si>
    <t>/api/products?page=0&amp;limit=10</t>
  </si>
  <si>
    <t>{"error": "Số trang phải lớn hơn hoặc bằng 1"}</t>
  </si>
  <si>
    <t>/api/products?page=-5&amp;limit=10</t>
  </si>
  <si>
    <t>/api/products?page=1&amp;limit=0</t>
  </si>
  <si>
    <t>{"error": "Số lượng hiển thị phải lớn hơn hoặc bằng 1"}</t>
  </si>
  <si>
    <t>/api/products?page=1&amp;limit=-10</t>
  </si>
  <si>
    <t>/api/products?page=9999&amp;limit=10</t>
  </si>
  <si>
    <t>{"currentPage": 9999, "products": []}</t>
  </si>
  <si>
    <t>{"currentPage": 1, "products": []}</t>
  </si>
  <si>
    <t>TC_PROD_042</t>
  </si>
  <si>
    <t>Người dùng truy cập danh mục sản phẩm</t>
  </si>
  <si>
    <t>1. Chọn khoảng giá minPrice bằng 0</t>
  </si>
  <si>
    <t>1. Nhập khoảng minPrice mang giá trị âm</t>
  </si>
  <si>
    <t>1. Nhập khoảng maxPrice mang giá trị âm</t>
  </si>
  <si>
    <t>1. Nhập giá trị minPrice lớn hơn maxPrice</t>
  </si>
  <si>
    <t>1. Nhập giá trị minPrice vượt giới hạn lưu trữ</t>
  </si>
  <si>
    <t>1. Nhập giá trị maxPrice vượt giới hạn lưu trữ</t>
  </si>
  <si>
    <t>1. Nhập tham số số trang page bằng 0</t>
  </si>
  <si>
    <t>1. Nhập tham số số trang page mang giá trị âm</t>
  </si>
  <si>
    <t>1. Nhập số lượng hiển thị limit bằng 0</t>
  </si>
  <si>
    <t>1. Nhập số lượng hiển thị limit mang giá trị âm</t>
  </si>
  <si>
    <t>Phân trang biên - Số trang vượt quá dữ liệu</t>
  </si>
  <si>
    <t>1. Nhập số trang page cực lớn vượt dữ liệu hiện tại</t>
  </si>
  <si>
    <t>minPrice=0, maxPrice=20000000</t>
  </si>
  <si>
    <t>Trả về mảng rỗng [] hoặc trang rỗng, HTTP Code 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</si>
</sst>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%&quot;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3"/>
      <color rgb="FFC0392B"/>
      <name val="Arial"/>
      <family val="2"/>
    </font>
    <font>
      <b/>
      <sz val="13"/>
      <color rgb="FFE67E22"/>
      <name val="Arial"/>
      <family val="2"/>
    </font>
    <font>
      <b/>
      <sz val="13"/>
      <color rgb="FF1E8449"/>
      <name val="Arial"/>
      <family val="2"/>
    </font>
    <font>
      <b/>
      <sz val="13"/>
      <color rgb="FF922B21"/>
      <name val="Arial"/>
      <family val="2"/>
    </font>
    <font>
      <b/>
      <sz val="13"/>
      <color rgb="FF717D7E"/>
      <name val="Arial"/>
      <family val="2"/>
    </font>
    <font>
      <b/>
      <sz val="13"/>
      <color rgb="FF784212"/>
      <name val="Arial"/>
      <family val="2"/>
    </font>
    <font>
      <b/>
      <sz val="13"/>
      <color rgb="FF27AE60"/>
      <name val="Arial"/>
      <family val="2"/>
    </font>
    <font>
      <b/>
      <sz val="13"/>
      <color rgb="FF2980B9"/>
      <name val="Arial"/>
      <family val="2"/>
    </font>
    <font>
      <b/>
      <sz val="13"/>
      <color rgb="FFF39C12"/>
      <name val="Arial"/>
      <family val="2"/>
    </font>
    <font>
      <b/>
      <sz val="13"/>
      <color rgb="FFE74C3C"/>
      <name val="Arial"/>
      <family val="2"/>
    </font>
    <font>
      <b/>
      <sz val="13"/>
      <color rgb="FF1A5276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rgb="FF1F1F1F"/>
      <name val="Calibri"/>
      <family val="2"/>
      <scheme val="minor"/>
    </font>
    <font>
      <i/>
      <sz val="11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DFEFE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922B21"/>
      </patternFill>
    </fill>
    <fill>
      <patternFill patternType="solid">
        <fgColor rgb="FF717D7E"/>
      </patternFill>
    </fill>
    <fill>
      <patternFill patternType="solid">
        <fgColor rgb="FF784212"/>
      </patternFill>
    </fill>
    <fill>
      <patternFill patternType="solid">
        <fgColor rgb="FF27AE60"/>
      </patternFill>
    </fill>
    <fill>
      <patternFill patternType="solid">
        <fgColor rgb="FF2980B9"/>
      </patternFill>
    </fill>
    <fill>
      <patternFill patternType="solid">
        <fgColor rgb="FFF39C12"/>
      </patternFill>
    </fill>
    <fill>
      <patternFill patternType="solid">
        <fgColor rgb="FFE74C3C"/>
      </patternFill>
    </fill>
    <fill>
      <patternFill patternType="solid">
        <fgColor rgb="FF1A527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left" vertical="center"/>
    </xf>
    <xf numFmtId="164" fontId="12" fillId="2" borderId="1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/>
    </xf>
    <xf numFmtId="0" fontId="0" fillId="0" borderId="0" xfId="0" applyBorder="1"/>
    <xf numFmtId="0" fontId="0" fillId="0" borderId="0" xfId="0" applyFont="1" applyBorder="1" applyAlignment="1"/>
    <xf numFmtId="0" fontId="15" fillId="0" borderId="0" xfId="0" applyFont="1" applyBorder="1" applyAlignment="1">
      <alignment readingOrder="1"/>
    </xf>
    <xf numFmtId="0" fontId="16" fillId="0" borderId="0" xfId="0" applyFont="1" applyBorder="1" applyAlignment="1">
      <alignment readingOrder="1"/>
    </xf>
    <xf numFmtId="0" fontId="0" fillId="0" borderId="0" xfId="0" applyFont="1" applyBorder="1"/>
    <xf numFmtId="0" fontId="15" fillId="0" borderId="0" xfId="0" applyFont="1" applyAlignment="1">
      <alignment readingOrder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FB171-A3AA-463B-838F-EDC01E820D15}">
  <dimension ref="A1:K39"/>
  <sheetViews>
    <sheetView topLeftCell="F4" workbookViewId="0">
      <selection activeCell="C42" sqref="C42"/>
    </sheetView>
  </sheetViews>
  <sheetFormatPr defaultRowHeight="14.4" x14ac:dyDescent="0.3"/>
  <cols>
    <col min="1" max="1" width="14.6640625" style="25" customWidth="1"/>
    <col min="2" max="2" width="8.88671875" style="25"/>
    <col min="3" max="3" width="23.88671875" style="25" customWidth="1"/>
    <col min="4" max="4" width="22.5546875" style="25" customWidth="1"/>
    <col min="5" max="5" width="43.109375" style="25" customWidth="1"/>
    <col min="6" max="6" width="40.77734375" style="25" customWidth="1"/>
    <col min="7" max="7" width="40.6640625" style="25" customWidth="1"/>
    <col min="8" max="8" width="30.88671875" style="25" customWidth="1"/>
    <col min="9" max="9" width="69.109375" style="25" customWidth="1"/>
    <col min="10" max="10" width="11.6640625" style="25" customWidth="1"/>
    <col min="11" max="11" width="9.44140625" style="25" customWidth="1"/>
    <col min="12" max="16384" width="8.88671875" style="25"/>
  </cols>
  <sheetData>
    <row r="1" spans="1:11" x14ac:dyDescent="0.3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x14ac:dyDescent="0.3">
      <c r="A2" s="26" t="s">
        <v>1</v>
      </c>
      <c r="B2" s="26" t="s">
        <v>2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9</v>
      </c>
      <c r="J2" s="26" t="s">
        <v>10</v>
      </c>
      <c r="K2" s="26" t="s">
        <v>11</v>
      </c>
    </row>
    <row r="3" spans="1:11" x14ac:dyDescent="0.3">
      <c r="A3" s="26" t="s">
        <v>12</v>
      </c>
      <c r="B3" s="26" t="s">
        <v>13</v>
      </c>
      <c r="C3" s="26" t="s">
        <v>14</v>
      </c>
      <c r="D3" s="26" t="s">
        <v>15</v>
      </c>
      <c r="E3" s="26" t="s">
        <v>16</v>
      </c>
      <c r="F3" s="26" t="s">
        <v>17</v>
      </c>
      <c r="G3" s="26" t="s">
        <v>82</v>
      </c>
      <c r="H3" s="26" t="s">
        <v>23</v>
      </c>
      <c r="I3" s="26" t="s">
        <v>149</v>
      </c>
      <c r="J3" s="26" t="s">
        <v>18</v>
      </c>
      <c r="K3" s="26" t="s">
        <v>19</v>
      </c>
    </row>
    <row r="4" spans="1:11" x14ac:dyDescent="0.3">
      <c r="A4" s="26" t="s">
        <v>20</v>
      </c>
      <c r="B4" s="26" t="s">
        <v>13</v>
      </c>
      <c r="C4" s="26" t="s">
        <v>14</v>
      </c>
      <c r="D4" s="26" t="s">
        <v>15</v>
      </c>
      <c r="E4" s="26" t="s">
        <v>21</v>
      </c>
      <c r="F4" s="26" t="s">
        <v>22</v>
      </c>
      <c r="G4" s="26" t="s">
        <v>82</v>
      </c>
      <c r="H4" s="26" t="s">
        <v>23</v>
      </c>
      <c r="I4" s="26" t="s">
        <v>24</v>
      </c>
      <c r="J4" s="26" t="s">
        <v>25</v>
      </c>
      <c r="K4" s="26" t="s">
        <v>19</v>
      </c>
    </row>
    <row r="5" spans="1:11" x14ac:dyDescent="0.3">
      <c r="A5" s="26" t="s">
        <v>26</v>
      </c>
      <c r="B5" s="26" t="s">
        <v>13</v>
      </c>
      <c r="C5" s="26" t="s">
        <v>14</v>
      </c>
      <c r="D5" s="26" t="s">
        <v>15</v>
      </c>
      <c r="E5" s="26" t="s">
        <v>27</v>
      </c>
      <c r="F5" s="26" t="s">
        <v>28</v>
      </c>
      <c r="G5" s="26" t="s">
        <v>82</v>
      </c>
      <c r="H5" s="26" t="s">
        <v>23</v>
      </c>
      <c r="I5" s="26" t="s">
        <v>83</v>
      </c>
      <c r="J5" s="26" t="s">
        <v>25</v>
      </c>
      <c r="K5" s="26" t="s">
        <v>19</v>
      </c>
    </row>
    <row r="6" spans="1:11" x14ac:dyDescent="0.3">
      <c r="A6" s="26" t="s">
        <v>29</v>
      </c>
      <c r="B6" s="26" t="s">
        <v>13</v>
      </c>
      <c r="C6" s="26" t="s">
        <v>14</v>
      </c>
      <c r="D6" s="26" t="s">
        <v>15</v>
      </c>
      <c r="E6" s="26" t="s">
        <v>30</v>
      </c>
      <c r="F6" s="26" t="s">
        <v>31</v>
      </c>
      <c r="G6" s="26" t="s">
        <v>82</v>
      </c>
      <c r="H6" s="26" t="s">
        <v>23</v>
      </c>
      <c r="I6" s="26" t="s">
        <v>84</v>
      </c>
      <c r="J6" s="26" t="s">
        <v>25</v>
      </c>
      <c r="K6" s="26" t="s">
        <v>19</v>
      </c>
    </row>
    <row r="7" spans="1:11" x14ac:dyDescent="0.3">
      <c r="A7" s="26" t="s">
        <v>32</v>
      </c>
      <c r="B7" s="26" t="s">
        <v>13</v>
      </c>
      <c r="C7" s="26" t="s">
        <v>14</v>
      </c>
      <c r="D7" s="26" t="s">
        <v>15</v>
      </c>
      <c r="E7" s="26" t="s">
        <v>33</v>
      </c>
      <c r="F7" s="26" t="s">
        <v>34</v>
      </c>
      <c r="G7" s="26" t="s">
        <v>82</v>
      </c>
      <c r="H7" s="26" t="s">
        <v>23</v>
      </c>
      <c r="I7" s="26" t="s">
        <v>35</v>
      </c>
      <c r="J7" s="26" t="s">
        <v>36</v>
      </c>
      <c r="K7" s="26" t="s">
        <v>19</v>
      </c>
    </row>
    <row r="8" spans="1:11" x14ac:dyDescent="0.3">
      <c r="A8" s="26" t="s">
        <v>37</v>
      </c>
      <c r="B8" s="26" t="s">
        <v>13</v>
      </c>
      <c r="C8" s="26" t="s">
        <v>14</v>
      </c>
      <c r="D8" s="26" t="s">
        <v>15</v>
      </c>
      <c r="E8" s="26" t="s">
        <v>38</v>
      </c>
      <c r="F8" s="26" t="s">
        <v>85</v>
      </c>
      <c r="G8" s="26" t="s">
        <v>82</v>
      </c>
      <c r="H8" s="26" t="s">
        <v>150</v>
      </c>
      <c r="I8" s="26" t="s">
        <v>200</v>
      </c>
      <c r="J8" s="26" t="s">
        <v>18</v>
      </c>
      <c r="K8" s="26" t="s">
        <v>19</v>
      </c>
    </row>
    <row r="9" spans="1:11" x14ac:dyDescent="0.3">
      <c r="A9" s="26" t="s">
        <v>39</v>
      </c>
      <c r="B9" s="26" t="s">
        <v>13</v>
      </c>
      <c r="C9" s="26" t="s">
        <v>14</v>
      </c>
      <c r="D9" s="26" t="s">
        <v>15</v>
      </c>
      <c r="E9" s="26" t="s">
        <v>40</v>
      </c>
      <c r="F9" s="26" t="s">
        <v>41</v>
      </c>
      <c r="G9" s="26" t="s">
        <v>86</v>
      </c>
      <c r="H9" s="26" t="s">
        <v>151</v>
      </c>
      <c r="I9" s="26" t="s">
        <v>201</v>
      </c>
      <c r="J9" s="26" t="s">
        <v>18</v>
      </c>
      <c r="K9" s="26" t="s">
        <v>19</v>
      </c>
    </row>
    <row r="10" spans="1:11" x14ac:dyDescent="0.3">
      <c r="A10" s="26" t="s">
        <v>42</v>
      </c>
      <c r="B10" s="26" t="s">
        <v>13</v>
      </c>
      <c r="C10" s="26" t="s">
        <v>14</v>
      </c>
      <c r="D10" s="26" t="s">
        <v>15</v>
      </c>
      <c r="E10" s="26" t="s">
        <v>43</v>
      </c>
      <c r="F10" s="26" t="s">
        <v>44</v>
      </c>
      <c r="G10" s="26" t="s">
        <v>87</v>
      </c>
      <c r="H10" s="26" t="s">
        <v>45</v>
      </c>
      <c r="I10" s="26" t="s">
        <v>46</v>
      </c>
      <c r="J10" s="26" t="s">
        <v>18</v>
      </c>
      <c r="K10" s="26" t="s">
        <v>19</v>
      </c>
    </row>
    <row r="11" spans="1:11" x14ac:dyDescent="0.3">
      <c r="A11" s="26" t="s">
        <v>47</v>
      </c>
      <c r="B11" s="26" t="s">
        <v>13</v>
      </c>
      <c r="C11" s="26" t="s">
        <v>14</v>
      </c>
      <c r="D11" s="26" t="s">
        <v>15</v>
      </c>
      <c r="E11" s="26" t="s">
        <v>48</v>
      </c>
      <c r="F11" s="26" t="s">
        <v>44</v>
      </c>
      <c r="G11" s="26" t="s">
        <v>88</v>
      </c>
      <c r="H11" s="26" t="s">
        <v>49</v>
      </c>
      <c r="I11" s="26" t="s">
        <v>50</v>
      </c>
      <c r="J11" s="26" t="s">
        <v>36</v>
      </c>
      <c r="K11" s="26" t="s">
        <v>19</v>
      </c>
    </row>
    <row r="12" spans="1:11" x14ac:dyDescent="0.3">
      <c r="A12" s="26" t="s">
        <v>51</v>
      </c>
      <c r="B12" s="26" t="s">
        <v>13</v>
      </c>
      <c r="C12" s="26" t="s">
        <v>14</v>
      </c>
      <c r="D12" s="26" t="s">
        <v>15</v>
      </c>
      <c r="E12" s="26" t="s">
        <v>52</v>
      </c>
      <c r="F12" s="26" t="s">
        <v>89</v>
      </c>
      <c r="G12" s="26" t="s">
        <v>90</v>
      </c>
      <c r="H12" s="26" t="s">
        <v>53</v>
      </c>
      <c r="I12" s="26" t="s">
        <v>91</v>
      </c>
      <c r="J12" s="26" t="s">
        <v>18</v>
      </c>
      <c r="K12" s="26" t="s">
        <v>19</v>
      </c>
    </row>
    <row r="13" spans="1:11" x14ac:dyDescent="0.3">
      <c r="A13" s="26" t="s">
        <v>54</v>
      </c>
      <c r="B13" s="26" t="s">
        <v>13</v>
      </c>
      <c r="C13" s="26" t="s">
        <v>14</v>
      </c>
      <c r="D13" s="26" t="s">
        <v>15</v>
      </c>
      <c r="E13" s="26" t="s">
        <v>55</v>
      </c>
      <c r="F13" s="26" t="s">
        <v>89</v>
      </c>
      <c r="G13" s="26" t="s">
        <v>92</v>
      </c>
      <c r="H13" s="26" t="s">
        <v>56</v>
      </c>
      <c r="I13" s="26" t="s">
        <v>93</v>
      </c>
      <c r="J13" s="26" t="s">
        <v>18</v>
      </c>
      <c r="K13" s="26" t="s">
        <v>19</v>
      </c>
    </row>
    <row r="14" spans="1:11" x14ac:dyDescent="0.3">
      <c r="A14" s="26" t="s">
        <v>57</v>
      </c>
      <c r="B14" s="26" t="s">
        <v>13</v>
      </c>
      <c r="C14" s="26" t="s">
        <v>14</v>
      </c>
      <c r="D14" s="26" t="s">
        <v>15</v>
      </c>
      <c r="E14" s="26" t="s">
        <v>58</v>
      </c>
      <c r="F14" s="26" t="s">
        <v>94</v>
      </c>
      <c r="G14" s="26" t="s">
        <v>95</v>
      </c>
      <c r="H14" s="26" t="s">
        <v>59</v>
      </c>
      <c r="I14" s="26" t="s">
        <v>96</v>
      </c>
      <c r="J14" s="26" t="s">
        <v>18</v>
      </c>
      <c r="K14" s="26" t="s">
        <v>19</v>
      </c>
    </row>
    <row r="15" spans="1:11" x14ac:dyDescent="0.3">
      <c r="A15" s="26" t="s">
        <v>60</v>
      </c>
      <c r="B15" s="26" t="s">
        <v>13</v>
      </c>
      <c r="C15" s="26" t="s">
        <v>14</v>
      </c>
      <c r="D15" s="26" t="s">
        <v>15</v>
      </c>
      <c r="E15" s="26" t="s">
        <v>61</v>
      </c>
      <c r="F15" s="26" t="s">
        <v>97</v>
      </c>
      <c r="G15" s="26" t="s">
        <v>98</v>
      </c>
      <c r="H15" s="26" t="s">
        <v>62</v>
      </c>
      <c r="I15" s="26" t="s">
        <v>99</v>
      </c>
      <c r="J15" s="26" t="s">
        <v>18</v>
      </c>
      <c r="K15" s="26" t="s">
        <v>19</v>
      </c>
    </row>
    <row r="16" spans="1:11" x14ac:dyDescent="0.3">
      <c r="A16" s="26" t="s">
        <v>63</v>
      </c>
      <c r="B16" s="26" t="s">
        <v>13</v>
      </c>
      <c r="C16" s="26" t="s">
        <v>14</v>
      </c>
      <c r="D16" s="26" t="s">
        <v>15</v>
      </c>
      <c r="E16" s="26" t="s">
        <v>64</v>
      </c>
      <c r="F16" s="26" t="s">
        <v>100</v>
      </c>
      <c r="G16" s="26" t="s">
        <v>101</v>
      </c>
      <c r="H16" s="26" t="s">
        <v>59</v>
      </c>
      <c r="I16" s="26" t="s">
        <v>202</v>
      </c>
      <c r="J16" s="26" t="s">
        <v>18</v>
      </c>
      <c r="K16" s="26" t="s">
        <v>19</v>
      </c>
    </row>
    <row r="17" spans="1:11" x14ac:dyDescent="0.3">
      <c r="A17" s="26" t="s">
        <v>65</v>
      </c>
      <c r="B17" s="26" t="s">
        <v>13</v>
      </c>
      <c r="C17" s="26" t="s">
        <v>14</v>
      </c>
      <c r="D17" s="26" t="s">
        <v>66</v>
      </c>
      <c r="E17" s="26" t="s">
        <v>67</v>
      </c>
      <c r="F17" s="26" t="s">
        <v>102</v>
      </c>
      <c r="G17" s="26" t="s">
        <v>103</v>
      </c>
      <c r="H17" s="26" t="s">
        <v>70</v>
      </c>
      <c r="I17" s="26" t="s">
        <v>104</v>
      </c>
      <c r="J17" s="26" t="s">
        <v>18</v>
      </c>
      <c r="K17" s="26" t="s">
        <v>19</v>
      </c>
    </row>
    <row r="18" spans="1:11" x14ac:dyDescent="0.3">
      <c r="A18" s="26" t="s">
        <v>68</v>
      </c>
      <c r="B18" s="26" t="s">
        <v>13</v>
      </c>
      <c r="C18" s="26" t="s">
        <v>14</v>
      </c>
      <c r="D18" s="26" t="s">
        <v>66</v>
      </c>
      <c r="E18" s="26" t="s">
        <v>69</v>
      </c>
      <c r="F18" s="26" t="s">
        <v>105</v>
      </c>
      <c r="G18" s="26" t="s">
        <v>106</v>
      </c>
      <c r="H18" s="26" t="s">
        <v>70</v>
      </c>
      <c r="I18" s="26" t="s">
        <v>107</v>
      </c>
      <c r="J18" s="26" t="s">
        <v>25</v>
      </c>
      <c r="K18" s="26" t="s">
        <v>19</v>
      </c>
    </row>
    <row r="19" spans="1:11" x14ac:dyDescent="0.3">
      <c r="A19" s="26" t="s">
        <v>71</v>
      </c>
      <c r="B19" s="26" t="s">
        <v>13</v>
      </c>
      <c r="C19" s="26" t="s">
        <v>14</v>
      </c>
      <c r="D19" s="26" t="s">
        <v>66</v>
      </c>
      <c r="E19" s="26" t="s">
        <v>72</v>
      </c>
      <c r="F19" s="26" t="s">
        <v>108</v>
      </c>
      <c r="G19" s="26" t="s">
        <v>106</v>
      </c>
      <c r="H19" s="26" t="s">
        <v>70</v>
      </c>
      <c r="I19" s="26" t="s">
        <v>109</v>
      </c>
      <c r="J19" s="26" t="s">
        <v>25</v>
      </c>
      <c r="K19" s="26" t="s">
        <v>19</v>
      </c>
    </row>
    <row r="20" spans="1:11" x14ac:dyDescent="0.3">
      <c r="A20" s="26" t="s">
        <v>110</v>
      </c>
      <c r="B20" s="26" t="s">
        <v>13</v>
      </c>
      <c r="C20" s="26" t="s">
        <v>14</v>
      </c>
      <c r="D20" s="26" t="s">
        <v>66</v>
      </c>
      <c r="E20" s="26" t="s">
        <v>111</v>
      </c>
      <c r="F20" s="26" t="s">
        <v>89</v>
      </c>
      <c r="G20" s="26" t="s">
        <v>106</v>
      </c>
      <c r="H20" s="26" t="s">
        <v>70</v>
      </c>
      <c r="I20" s="26" t="s">
        <v>112</v>
      </c>
      <c r="J20" s="26" t="s">
        <v>25</v>
      </c>
      <c r="K20" s="26" t="s">
        <v>19</v>
      </c>
    </row>
    <row r="21" spans="1:11" x14ac:dyDescent="0.3">
      <c r="A21" s="26" t="s">
        <v>113</v>
      </c>
      <c r="B21" s="26" t="s">
        <v>13</v>
      </c>
      <c r="C21" s="26" t="s">
        <v>14</v>
      </c>
      <c r="D21" s="26" t="s">
        <v>66</v>
      </c>
      <c r="E21" s="26" t="s">
        <v>114</v>
      </c>
      <c r="F21" s="26" t="s">
        <v>115</v>
      </c>
      <c r="G21" s="26" t="s">
        <v>116</v>
      </c>
      <c r="H21" s="26" t="s">
        <v>117</v>
      </c>
      <c r="I21" s="26" t="s">
        <v>152</v>
      </c>
      <c r="J21" s="26" t="s">
        <v>25</v>
      </c>
      <c r="K21" s="26" t="s">
        <v>19</v>
      </c>
    </row>
    <row r="22" spans="1:11" x14ac:dyDescent="0.3">
      <c r="A22" s="26" t="s">
        <v>118</v>
      </c>
      <c r="B22" s="26" t="s">
        <v>13</v>
      </c>
      <c r="C22" s="26" t="s">
        <v>119</v>
      </c>
      <c r="D22" s="26" t="s">
        <v>15</v>
      </c>
      <c r="E22" s="26" t="s">
        <v>120</v>
      </c>
      <c r="F22" s="26" t="s">
        <v>121</v>
      </c>
      <c r="G22" s="26" t="s">
        <v>122</v>
      </c>
      <c r="H22" s="26" t="s">
        <v>123</v>
      </c>
      <c r="I22" s="26" t="s">
        <v>124</v>
      </c>
      <c r="J22" s="26" t="s">
        <v>18</v>
      </c>
      <c r="K22" s="26" t="s">
        <v>19</v>
      </c>
    </row>
    <row r="23" spans="1:11" x14ac:dyDescent="0.3">
      <c r="A23" s="26" t="s">
        <v>125</v>
      </c>
      <c r="B23" s="26" t="s">
        <v>13</v>
      </c>
      <c r="C23" s="26" t="s">
        <v>119</v>
      </c>
      <c r="D23" s="26" t="s">
        <v>15</v>
      </c>
      <c r="E23" s="26" t="s">
        <v>126</v>
      </c>
      <c r="F23" s="26" t="s">
        <v>121</v>
      </c>
      <c r="G23" s="26" t="s">
        <v>153</v>
      </c>
      <c r="H23" s="26" t="s">
        <v>154</v>
      </c>
      <c r="I23" s="26" t="s">
        <v>127</v>
      </c>
      <c r="J23" s="26" t="s">
        <v>25</v>
      </c>
      <c r="K23" s="26" t="s">
        <v>19</v>
      </c>
    </row>
    <row r="24" spans="1:11" x14ac:dyDescent="0.3">
      <c r="A24" s="26" t="s">
        <v>128</v>
      </c>
      <c r="B24" s="26" t="s">
        <v>13</v>
      </c>
      <c r="C24" s="26" t="s">
        <v>129</v>
      </c>
      <c r="D24" s="26" t="s">
        <v>66</v>
      </c>
      <c r="E24" s="26" t="s">
        <v>130</v>
      </c>
      <c r="F24" s="26" t="s">
        <v>131</v>
      </c>
      <c r="G24" s="26" t="s">
        <v>132</v>
      </c>
      <c r="H24" s="26" t="s">
        <v>155</v>
      </c>
      <c r="I24" s="26" t="s">
        <v>133</v>
      </c>
      <c r="J24" s="26" t="s">
        <v>18</v>
      </c>
      <c r="K24" s="26" t="s">
        <v>19</v>
      </c>
    </row>
    <row r="25" spans="1:11" x14ac:dyDescent="0.3">
      <c r="A25" s="26" t="s">
        <v>134</v>
      </c>
      <c r="B25" s="26" t="s">
        <v>13</v>
      </c>
      <c r="C25" s="26" t="s">
        <v>129</v>
      </c>
      <c r="D25" s="26" t="s">
        <v>66</v>
      </c>
      <c r="E25" s="26" t="s">
        <v>135</v>
      </c>
      <c r="F25" s="26" t="s">
        <v>121</v>
      </c>
      <c r="G25" s="26" t="s">
        <v>136</v>
      </c>
      <c r="H25" s="26" t="s">
        <v>156</v>
      </c>
      <c r="I25" s="26" t="s">
        <v>137</v>
      </c>
      <c r="J25" s="26" t="s">
        <v>25</v>
      </c>
      <c r="K25" s="26" t="s">
        <v>19</v>
      </c>
    </row>
    <row r="26" spans="1:11" x14ac:dyDescent="0.3">
      <c r="A26" s="26" t="s">
        <v>138</v>
      </c>
      <c r="B26" s="26" t="s">
        <v>13</v>
      </c>
      <c r="C26" s="26" t="s">
        <v>139</v>
      </c>
      <c r="D26" s="26" t="s">
        <v>66</v>
      </c>
      <c r="E26" s="26" t="s">
        <v>140</v>
      </c>
      <c r="F26" s="26" t="s">
        <v>131</v>
      </c>
      <c r="G26" s="26" t="s">
        <v>141</v>
      </c>
      <c r="H26" s="26" t="s">
        <v>70</v>
      </c>
      <c r="I26" s="26" t="s">
        <v>157</v>
      </c>
      <c r="J26" s="26" t="s">
        <v>18</v>
      </c>
      <c r="K26" s="26" t="s">
        <v>19</v>
      </c>
    </row>
    <row r="27" spans="1:11" x14ac:dyDescent="0.3">
      <c r="A27" s="26" t="s">
        <v>142</v>
      </c>
      <c r="B27" s="26" t="s">
        <v>13</v>
      </c>
      <c r="C27" s="26" t="s">
        <v>139</v>
      </c>
      <c r="D27" s="26" t="s">
        <v>66</v>
      </c>
      <c r="E27" s="26" t="s">
        <v>143</v>
      </c>
      <c r="F27" s="26" t="s">
        <v>144</v>
      </c>
      <c r="G27" s="26" t="s">
        <v>145</v>
      </c>
      <c r="H27" s="26" t="s">
        <v>70</v>
      </c>
      <c r="I27" s="26" t="s">
        <v>146</v>
      </c>
      <c r="J27" s="26" t="s">
        <v>18</v>
      </c>
      <c r="K27" s="26" t="s">
        <v>19</v>
      </c>
    </row>
    <row r="28" spans="1:11" x14ac:dyDescent="0.3">
      <c r="A28" s="27" t="s">
        <v>213</v>
      </c>
      <c r="B28" s="27" t="s">
        <v>13</v>
      </c>
      <c r="C28" s="27" t="s">
        <v>14</v>
      </c>
      <c r="D28" s="27" t="s">
        <v>15</v>
      </c>
      <c r="E28" s="27" t="s">
        <v>211</v>
      </c>
      <c r="F28" s="27" t="s">
        <v>273</v>
      </c>
      <c r="G28" s="27" t="s">
        <v>274</v>
      </c>
      <c r="H28" s="27" t="s">
        <v>286</v>
      </c>
      <c r="I28" s="27" t="s">
        <v>212</v>
      </c>
      <c r="J28" s="27" t="s">
        <v>18</v>
      </c>
      <c r="K28" s="27" t="s">
        <v>19</v>
      </c>
    </row>
    <row r="29" spans="1:11" x14ac:dyDescent="0.3">
      <c r="A29" s="27" t="s">
        <v>217</v>
      </c>
      <c r="B29" s="27" t="s">
        <v>13</v>
      </c>
      <c r="C29" s="27" t="s">
        <v>14</v>
      </c>
      <c r="D29" s="27" t="s">
        <v>15</v>
      </c>
      <c r="E29" s="27" t="s">
        <v>214</v>
      </c>
      <c r="F29" s="27" t="s">
        <v>273</v>
      </c>
      <c r="G29" s="27" t="s">
        <v>275</v>
      </c>
      <c r="H29" s="27" t="s">
        <v>215</v>
      </c>
      <c r="I29" s="27" t="s">
        <v>216</v>
      </c>
      <c r="J29" s="27" t="s">
        <v>18</v>
      </c>
      <c r="K29" s="27" t="s">
        <v>19</v>
      </c>
    </row>
    <row r="30" spans="1:11" x14ac:dyDescent="0.3">
      <c r="A30" s="27" t="s">
        <v>220</v>
      </c>
      <c r="B30" s="27" t="s">
        <v>13</v>
      </c>
      <c r="C30" s="27" t="s">
        <v>14</v>
      </c>
      <c r="D30" s="27" t="s">
        <v>15</v>
      </c>
      <c r="E30" s="27" t="s">
        <v>218</v>
      </c>
      <c r="F30" s="27" t="s">
        <v>273</v>
      </c>
      <c r="G30" s="27" t="s">
        <v>276</v>
      </c>
      <c r="H30" s="27" t="s">
        <v>219</v>
      </c>
      <c r="I30" s="27" t="s">
        <v>216</v>
      </c>
      <c r="J30" s="27" t="s">
        <v>18</v>
      </c>
      <c r="K30" s="27" t="s">
        <v>19</v>
      </c>
    </row>
    <row r="31" spans="1:11" x14ac:dyDescent="0.3">
      <c r="A31" s="27" t="s">
        <v>223</v>
      </c>
      <c r="B31" s="27" t="s">
        <v>13</v>
      </c>
      <c r="C31" s="27" t="s">
        <v>14</v>
      </c>
      <c r="D31" s="27" t="s">
        <v>15</v>
      </c>
      <c r="E31" s="27" t="s">
        <v>221</v>
      </c>
      <c r="F31" s="27" t="s">
        <v>273</v>
      </c>
      <c r="G31" s="27" t="s">
        <v>277</v>
      </c>
      <c r="H31" s="27" t="s">
        <v>244</v>
      </c>
      <c r="I31" s="27" t="s">
        <v>222</v>
      </c>
      <c r="J31" s="27" t="s">
        <v>18</v>
      </c>
      <c r="K31" s="27" t="s">
        <v>19</v>
      </c>
    </row>
    <row r="32" spans="1:11" x14ac:dyDescent="0.3">
      <c r="A32" s="27" t="s">
        <v>226</v>
      </c>
      <c r="B32" s="27" t="s">
        <v>13</v>
      </c>
      <c r="C32" s="27" t="s">
        <v>14</v>
      </c>
      <c r="D32" s="27" t="s">
        <v>15</v>
      </c>
      <c r="E32" s="27" t="s">
        <v>224</v>
      </c>
      <c r="F32" s="27" t="s">
        <v>273</v>
      </c>
      <c r="G32" s="27" t="s">
        <v>245</v>
      </c>
      <c r="H32" s="27" t="s">
        <v>246</v>
      </c>
      <c r="I32" s="27" t="s">
        <v>225</v>
      </c>
      <c r="J32" s="27" t="s">
        <v>25</v>
      </c>
      <c r="K32" s="27" t="s">
        <v>19</v>
      </c>
    </row>
    <row r="33" spans="1:11" x14ac:dyDescent="0.3">
      <c r="A33" s="27" t="s">
        <v>230</v>
      </c>
      <c r="B33" s="27" t="s">
        <v>13</v>
      </c>
      <c r="C33" s="27" t="s">
        <v>14</v>
      </c>
      <c r="D33" s="27" t="s">
        <v>15</v>
      </c>
      <c r="E33" s="27" t="s">
        <v>227</v>
      </c>
      <c r="F33" s="27" t="s">
        <v>273</v>
      </c>
      <c r="G33" s="27" t="s">
        <v>278</v>
      </c>
      <c r="H33" s="27" t="s">
        <v>228</v>
      </c>
      <c r="I33" s="27" t="s">
        <v>229</v>
      </c>
      <c r="J33" s="27" t="s">
        <v>18</v>
      </c>
      <c r="K33" s="27" t="s">
        <v>19</v>
      </c>
    </row>
    <row r="34" spans="1:11" x14ac:dyDescent="0.3">
      <c r="A34" s="27" t="s">
        <v>233</v>
      </c>
      <c r="B34" s="27" t="s">
        <v>13</v>
      </c>
      <c r="C34" s="27" t="s">
        <v>14</v>
      </c>
      <c r="D34" s="27" t="s">
        <v>15</v>
      </c>
      <c r="E34" s="27" t="s">
        <v>231</v>
      </c>
      <c r="F34" s="27" t="s">
        <v>273</v>
      </c>
      <c r="G34" s="27" t="s">
        <v>279</v>
      </c>
      <c r="H34" s="27" t="s">
        <v>232</v>
      </c>
      <c r="I34" s="27" t="s">
        <v>229</v>
      </c>
      <c r="J34" s="27" t="s">
        <v>18</v>
      </c>
      <c r="K34" s="27" t="s">
        <v>19</v>
      </c>
    </row>
    <row r="35" spans="1:11" x14ac:dyDescent="0.3">
      <c r="A35" s="27" t="s">
        <v>236</v>
      </c>
      <c r="B35" s="27" t="s">
        <v>13</v>
      </c>
      <c r="C35" s="27" t="s">
        <v>14</v>
      </c>
      <c r="D35" s="27" t="s">
        <v>15</v>
      </c>
      <c r="E35" s="27" t="s">
        <v>234</v>
      </c>
      <c r="F35" s="27" t="s">
        <v>273</v>
      </c>
      <c r="G35" s="27" t="s">
        <v>280</v>
      </c>
      <c r="H35" s="27" t="s">
        <v>247</v>
      </c>
      <c r="I35" s="27" t="s">
        <v>235</v>
      </c>
      <c r="J35" s="27" t="s">
        <v>18</v>
      </c>
      <c r="K35" s="27" t="s">
        <v>19</v>
      </c>
    </row>
    <row r="36" spans="1:11" x14ac:dyDescent="0.3">
      <c r="A36" s="27" t="s">
        <v>238</v>
      </c>
      <c r="B36" s="27" t="s">
        <v>13</v>
      </c>
      <c r="C36" s="27" t="s">
        <v>14</v>
      </c>
      <c r="D36" s="27" t="s">
        <v>15</v>
      </c>
      <c r="E36" s="27" t="s">
        <v>237</v>
      </c>
      <c r="F36" s="27" t="s">
        <v>273</v>
      </c>
      <c r="G36" s="27" t="s">
        <v>281</v>
      </c>
      <c r="H36" s="27" t="s">
        <v>248</v>
      </c>
      <c r="I36" s="27" t="s">
        <v>235</v>
      </c>
      <c r="J36" s="27" t="s">
        <v>18</v>
      </c>
      <c r="K36" s="27" t="s">
        <v>19</v>
      </c>
    </row>
    <row r="37" spans="1:11" x14ac:dyDescent="0.3">
      <c r="A37" s="27" t="s">
        <v>241</v>
      </c>
      <c r="B37" s="27" t="s">
        <v>13</v>
      </c>
      <c r="C37" s="27" t="s">
        <v>14</v>
      </c>
      <c r="D37" s="27" t="s">
        <v>15</v>
      </c>
      <c r="E37" s="27" t="s">
        <v>239</v>
      </c>
      <c r="F37" s="27" t="s">
        <v>273</v>
      </c>
      <c r="G37" s="27" t="s">
        <v>282</v>
      </c>
      <c r="H37" s="27" t="s">
        <v>249</v>
      </c>
      <c r="I37" s="27" t="s">
        <v>240</v>
      </c>
      <c r="J37" s="27" t="s">
        <v>18</v>
      </c>
      <c r="K37" s="27" t="s">
        <v>19</v>
      </c>
    </row>
    <row r="38" spans="1:11" x14ac:dyDescent="0.3">
      <c r="A38" s="27" t="s">
        <v>243</v>
      </c>
      <c r="B38" s="27" t="s">
        <v>13</v>
      </c>
      <c r="C38" s="27" t="s">
        <v>14</v>
      </c>
      <c r="D38" s="27" t="s">
        <v>15</v>
      </c>
      <c r="E38" s="27" t="s">
        <v>242</v>
      </c>
      <c r="F38" s="27" t="s">
        <v>273</v>
      </c>
      <c r="G38" s="27" t="s">
        <v>283</v>
      </c>
      <c r="H38" s="27" t="s">
        <v>250</v>
      </c>
      <c r="I38" s="27" t="s">
        <v>240</v>
      </c>
      <c r="J38" s="27" t="s">
        <v>18</v>
      </c>
      <c r="K38" s="27" t="s">
        <v>19</v>
      </c>
    </row>
    <row r="39" spans="1:11" x14ac:dyDescent="0.3">
      <c r="A39" s="27" t="s">
        <v>272</v>
      </c>
      <c r="B39" s="27" t="s">
        <v>13</v>
      </c>
      <c r="C39" s="27" t="s">
        <v>14</v>
      </c>
      <c r="D39" s="27" t="s">
        <v>15</v>
      </c>
      <c r="E39" s="27" t="s">
        <v>284</v>
      </c>
      <c r="F39" s="27" t="s">
        <v>273</v>
      </c>
      <c r="G39" s="27" t="s">
        <v>285</v>
      </c>
      <c r="H39" s="27" t="s">
        <v>251</v>
      </c>
      <c r="I39" s="27" t="s">
        <v>287</v>
      </c>
      <c r="J39" s="27" t="s">
        <v>25</v>
      </c>
      <c r="K39" s="27" t="s">
        <v>19</v>
      </c>
    </row>
  </sheetData>
  <mergeCells count="1">
    <mergeCell ref="A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9B249-1455-4465-8888-A946B8483E8D}">
  <dimension ref="A1:G38"/>
  <sheetViews>
    <sheetView topLeftCell="A25" workbookViewId="0">
      <selection activeCell="C42" sqref="C42"/>
    </sheetView>
  </sheetViews>
  <sheetFormatPr defaultRowHeight="14.4" x14ac:dyDescent="0.3"/>
  <cols>
    <col min="1" max="1" width="15.109375" style="25" customWidth="1"/>
    <col min="2" max="2" width="12.6640625" style="25" customWidth="1"/>
    <col min="3" max="3" width="58.44140625" style="25" customWidth="1"/>
    <col min="4" max="4" width="59.77734375" style="25" customWidth="1"/>
    <col min="5" max="5" width="53.6640625" style="25" customWidth="1"/>
    <col min="6" max="6" width="17.77734375" style="25" customWidth="1"/>
    <col min="7" max="7" width="33.88671875" style="25" customWidth="1"/>
    <col min="8" max="16384" width="8.88671875" style="25"/>
  </cols>
  <sheetData>
    <row r="1" spans="1:7" x14ac:dyDescent="0.3">
      <c r="A1" s="29" t="s">
        <v>1</v>
      </c>
      <c r="B1" s="29" t="s">
        <v>3</v>
      </c>
      <c r="C1" s="29" t="s">
        <v>4</v>
      </c>
      <c r="D1" s="29" t="s">
        <v>158</v>
      </c>
      <c r="E1" s="29" t="s">
        <v>159</v>
      </c>
      <c r="F1" s="29" t="s">
        <v>160</v>
      </c>
      <c r="G1" s="29" t="s">
        <v>161</v>
      </c>
    </row>
    <row r="2" spans="1:7" x14ac:dyDescent="0.3">
      <c r="A2" s="29" t="s">
        <v>12</v>
      </c>
      <c r="B2" s="29" t="s">
        <v>14</v>
      </c>
      <c r="C2" s="29" t="s">
        <v>15</v>
      </c>
      <c r="D2" s="29" t="s">
        <v>162</v>
      </c>
      <c r="E2" s="29" t="s">
        <v>163</v>
      </c>
      <c r="F2" s="29">
        <v>200</v>
      </c>
      <c r="G2" s="29" t="s">
        <v>164</v>
      </c>
    </row>
    <row r="3" spans="1:7" x14ac:dyDescent="0.3">
      <c r="A3" s="29" t="s">
        <v>20</v>
      </c>
      <c r="B3" s="29" t="s">
        <v>14</v>
      </c>
      <c r="C3" s="29" t="s">
        <v>15</v>
      </c>
      <c r="D3" s="29" t="s">
        <v>162</v>
      </c>
      <c r="E3" s="29" t="s">
        <v>163</v>
      </c>
      <c r="F3" s="29">
        <v>200</v>
      </c>
      <c r="G3" s="29" t="s">
        <v>165</v>
      </c>
    </row>
    <row r="4" spans="1:7" x14ac:dyDescent="0.3">
      <c r="A4" s="29" t="s">
        <v>26</v>
      </c>
      <c r="B4" s="29" t="s">
        <v>14</v>
      </c>
      <c r="C4" s="29" t="s">
        <v>15</v>
      </c>
      <c r="D4" s="29" t="s">
        <v>162</v>
      </c>
      <c r="E4" s="29" t="s">
        <v>163</v>
      </c>
      <c r="F4" s="29">
        <v>200</v>
      </c>
      <c r="G4" s="29" t="s">
        <v>166</v>
      </c>
    </row>
    <row r="5" spans="1:7" x14ac:dyDescent="0.3">
      <c r="A5" s="29" t="s">
        <v>29</v>
      </c>
      <c r="B5" s="29" t="s">
        <v>14</v>
      </c>
      <c r="C5" s="29" t="s">
        <v>15</v>
      </c>
      <c r="D5" s="29" t="s">
        <v>162</v>
      </c>
      <c r="E5" s="29" t="s">
        <v>163</v>
      </c>
      <c r="F5" s="29">
        <v>200</v>
      </c>
      <c r="G5" s="29" t="s">
        <v>167</v>
      </c>
    </row>
    <row r="6" spans="1:7" x14ac:dyDescent="0.3">
      <c r="A6" s="29" t="s">
        <v>32</v>
      </c>
      <c r="B6" s="29" t="s">
        <v>14</v>
      </c>
      <c r="C6" s="29" t="s">
        <v>15</v>
      </c>
      <c r="D6" s="29" t="s">
        <v>162</v>
      </c>
      <c r="E6" s="29" t="s">
        <v>163</v>
      </c>
      <c r="F6" s="29">
        <v>200</v>
      </c>
      <c r="G6" s="29" t="s">
        <v>168</v>
      </c>
    </row>
    <row r="7" spans="1:7" x14ac:dyDescent="0.3">
      <c r="A7" s="29" t="s">
        <v>37</v>
      </c>
      <c r="B7" s="29" t="s">
        <v>14</v>
      </c>
      <c r="C7" s="29" t="s">
        <v>169</v>
      </c>
      <c r="D7" s="29" t="s">
        <v>162</v>
      </c>
      <c r="E7" s="29" t="s">
        <v>163</v>
      </c>
      <c r="F7" s="29">
        <v>200</v>
      </c>
      <c r="G7" s="29" t="s">
        <v>170</v>
      </c>
    </row>
    <row r="8" spans="1:7" x14ac:dyDescent="0.3">
      <c r="A8" s="29" t="s">
        <v>39</v>
      </c>
      <c r="B8" s="29" t="s">
        <v>14</v>
      </c>
      <c r="C8" s="29" t="s">
        <v>171</v>
      </c>
      <c r="D8" s="29" t="s">
        <v>162</v>
      </c>
      <c r="E8" s="29" t="s">
        <v>163</v>
      </c>
      <c r="F8" s="29">
        <v>200</v>
      </c>
      <c r="G8" s="29" t="s">
        <v>172</v>
      </c>
    </row>
    <row r="9" spans="1:7" x14ac:dyDescent="0.3">
      <c r="A9" s="29" t="s">
        <v>42</v>
      </c>
      <c r="B9" s="29" t="s">
        <v>14</v>
      </c>
      <c r="C9" s="29" t="s">
        <v>173</v>
      </c>
      <c r="D9" s="29" t="s">
        <v>162</v>
      </c>
      <c r="E9" s="29" t="s">
        <v>163</v>
      </c>
      <c r="F9" s="29">
        <v>200</v>
      </c>
      <c r="G9" s="29" t="s">
        <v>174</v>
      </c>
    </row>
    <row r="10" spans="1:7" x14ac:dyDescent="0.3">
      <c r="A10" s="29" t="s">
        <v>47</v>
      </c>
      <c r="B10" s="29" t="s">
        <v>14</v>
      </c>
      <c r="C10" s="29" t="s">
        <v>175</v>
      </c>
      <c r="D10" s="29" t="s">
        <v>162</v>
      </c>
      <c r="E10" s="29" t="s">
        <v>163</v>
      </c>
      <c r="F10" s="29">
        <v>200</v>
      </c>
      <c r="G10" s="29" t="s">
        <v>164</v>
      </c>
    </row>
    <row r="11" spans="1:7" x14ac:dyDescent="0.3">
      <c r="A11" s="29" t="s">
        <v>51</v>
      </c>
      <c r="B11" s="29" t="s">
        <v>14</v>
      </c>
      <c r="C11" s="29" t="s">
        <v>176</v>
      </c>
      <c r="D11" s="29" t="s">
        <v>162</v>
      </c>
      <c r="E11" s="29" t="s">
        <v>163</v>
      </c>
      <c r="F11" s="29">
        <v>200</v>
      </c>
      <c r="G11" s="29" t="s">
        <v>164</v>
      </c>
    </row>
    <row r="12" spans="1:7" x14ac:dyDescent="0.3">
      <c r="A12" s="29" t="s">
        <v>54</v>
      </c>
      <c r="B12" s="29" t="s">
        <v>14</v>
      </c>
      <c r="C12" s="29" t="s">
        <v>177</v>
      </c>
      <c r="D12" s="29" t="s">
        <v>162</v>
      </c>
      <c r="E12" s="29" t="s">
        <v>163</v>
      </c>
      <c r="F12" s="29">
        <v>200</v>
      </c>
      <c r="G12" s="29" t="s">
        <v>164</v>
      </c>
    </row>
    <row r="13" spans="1:7" x14ac:dyDescent="0.3">
      <c r="A13" s="29" t="s">
        <v>57</v>
      </c>
      <c r="B13" s="29" t="s">
        <v>14</v>
      </c>
      <c r="C13" s="29" t="s">
        <v>178</v>
      </c>
      <c r="D13" s="29" t="s">
        <v>162</v>
      </c>
      <c r="E13" s="29" t="s">
        <v>163</v>
      </c>
      <c r="F13" s="29">
        <v>200</v>
      </c>
      <c r="G13" s="29" t="s">
        <v>179</v>
      </c>
    </row>
    <row r="14" spans="1:7" x14ac:dyDescent="0.3">
      <c r="A14" s="29" t="s">
        <v>60</v>
      </c>
      <c r="B14" s="29" t="s">
        <v>14</v>
      </c>
      <c r="C14" s="29" t="s">
        <v>180</v>
      </c>
      <c r="D14" s="29" t="s">
        <v>162</v>
      </c>
      <c r="E14" s="29" t="s">
        <v>163</v>
      </c>
      <c r="F14" s="29">
        <v>200</v>
      </c>
      <c r="G14" s="29" t="s">
        <v>181</v>
      </c>
    </row>
    <row r="15" spans="1:7" x14ac:dyDescent="0.3">
      <c r="A15" s="29" t="s">
        <v>63</v>
      </c>
      <c r="B15" s="29" t="s">
        <v>14</v>
      </c>
      <c r="C15" s="29" t="s">
        <v>182</v>
      </c>
      <c r="D15" s="29" t="s">
        <v>162</v>
      </c>
      <c r="E15" s="29" t="s">
        <v>163</v>
      </c>
      <c r="F15" s="29">
        <v>200</v>
      </c>
      <c r="G15" s="29" t="s">
        <v>164</v>
      </c>
    </row>
    <row r="16" spans="1:7" x14ac:dyDescent="0.3">
      <c r="A16" s="29" t="s">
        <v>65</v>
      </c>
      <c r="B16" s="29" t="s">
        <v>14</v>
      </c>
      <c r="C16" s="29" t="s">
        <v>183</v>
      </c>
      <c r="D16" s="29" t="s">
        <v>162</v>
      </c>
      <c r="E16" s="29" t="s">
        <v>163</v>
      </c>
      <c r="F16" s="29">
        <v>200</v>
      </c>
      <c r="G16" s="29" t="s">
        <v>184</v>
      </c>
    </row>
    <row r="17" spans="1:7" x14ac:dyDescent="0.3">
      <c r="A17" s="29" t="s">
        <v>68</v>
      </c>
      <c r="B17" s="29" t="s">
        <v>14</v>
      </c>
      <c r="C17" s="29" t="s">
        <v>183</v>
      </c>
      <c r="D17" s="29" t="s">
        <v>162</v>
      </c>
      <c r="E17" s="29" t="s">
        <v>163</v>
      </c>
      <c r="F17" s="29">
        <v>200</v>
      </c>
      <c r="G17" s="29" t="s">
        <v>185</v>
      </c>
    </row>
    <row r="18" spans="1:7" x14ac:dyDescent="0.3">
      <c r="A18" s="29" t="s">
        <v>71</v>
      </c>
      <c r="B18" s="29" t="s">
        <v>14</v>
      </c>
      <c r="C18" s="29" t="s">
        <v>183</v>
      </c>
      <c r="D18" s="29" t="s">
        <v>162</v>
      </c>
      <c r="E18" s="29" t="s">
        <v>163</v>
      </c>
      <c r="F18" s="29">
        <v>200</v>
      </c>
      <c r="G18" s="29" t="s">
        <v>186</v>
      </c>
    </row>
    <row r="19" spans="1:7" x14ac:dyDescent="0.3">
      <c r="A19" s="29" t="s">
        <v>110</v>
      </c>
      <c r="B19" s="29" t="s">
        <v>14</v>
      </c>
      <c r="C19" s="29" t="s">
        <v>183</v>
      </c>
      <c r="D19" s="29" t="s">
        <v>162</v>
      </c>
      <c r="E19" s="29" t="s">
        <v>163</v>
      </c>
      <c r="F19" s="29">
        <v>200</v>
      </c>
      <c r="G19" s="29" t="s">
        <v>167</v>
      </c>
    </row>
    <row r="20" spans="1:7" x14ac:dyDescent="0.3">
      <c r="A20" s="29" t="s">
        <v>113</v>
      </c>
      <c r="B20" s="29" t="s">
        <v>14</v>
      </c>
      <c r="C20" s="29" t="s">
        <v>187</v>
      </c>
      <c r="D20" s="29" t="s">
        <v>162</v>
      </c>
      <c r="E20" s="29" t="s">
        <v>163</v>
      </c>
      <c r="F20" s="29">
        <v>404</v>
      </c>
      <c r="G20" s="29" t="s">
        <v>188</v>
      </c>
    </row>
    <row r="21" spans="1:7" x14ac:dyDescent="0.3">
      <c r="A21" s="29" t="s">
        <v>118</v>
      </c>
      <c r="B21" s="29" t="s">
        <v>119</v>
      </c>
      <c r="C21" s="29" t="s">
        <v>15</v>
      </c>
      <c r="D21" s="29" t="s">
        <v>189</v>
      </c>
      <c r="E21" s="29" t="s">
        <v>190</v>
      </c>
      <c r="F21" s="29">
        <v>201</v>
      </c>
      <c r="G21" s="29" t="s">
        <v>191</v>
      </c>
    </row>
    <row r="22" spans="1:7" x14ac:dyDescent="0.3">
      <c r="A22" s="29" t="s">
        <v>125</v>
      </c>
      <c r="B22" s="29" t="s">
        <v>119</v>
      </c>
      <c r="C22" s="29" t="s">
        <v>15</v>
      </c>
      <c r="D22" s="29" t="s">
        <v>189</v>
      </c>
      <c r="E22" s="29" t="s">
        <v>192</v>
      </c>
      <c r="F22" s="29">
        <v>400</v>
      </c>
      <c r="G22" s="29" t="s">
        <v>193</v>
      </c>
    </row>
    <row r="23" spans="1:7" x14ac:dyDescent="0.3">
      <c r="A23" s="29" t="s">
        <v>128</v>
      </c>
      <c r="B23" s="29" t="s">
        <v>129</v>
      </c>
      <c r="C23" s="29" t="s">
        <v>183</v>
      </c>
      <c r="D23" s="29" t="s">
        <v>189</v>
      </c>
      <c r="E23" s="29" t="s">
        <v>194</v>
      </c>
      <c r="F23" s="29">
        <v>200</v>
      </c>
      <c r="G23" s="29" t="s">
        <v>195</v>
      </c>
    </row>
    <row r="24" spans="1:7" x14ac:dyDescent="0.3">
      <c r="A24" s="29" t="s">
        <v>134</v>
      </c>
      <c r="B24" s="29" t="s">
        <v>129</v>
      </c>
      <c r="C24" s="29" t="s">
        <v>187</v>
      </c>
      <c r="D24" s="29" t="s">
        <v>189</v>
      </c>
      <c r="E24" s="29" t="s">
        <v>194</v>
      </c>
      <c r="F24" s="29">
        <v>404</v>
      </c>
      <c r="G24" s="29" t="s">
        <v>188</v>
      </c>
    </row>
    <row r="25" spans="1:7" x14ac:dyDescent="0.3">
      <c r="A25" s="29" t="s">
        <v>138</v>
      </c>
      <c r="B25" s="29" t="s">
        <v>139</v>
      </c>
      <c r="C25" s="29" t="s">
        <v>183</v>
      </c>
      <c r="D25" s="29" t="s">
        <v>196</v>
      </c>
      <c r="E25" s="29" t="s">
        <v>163</v>
      </c>
      <c r="F25" s="29">
        <v>200</v>
      </c>
      <c r="G25" s="29" t="s">
        <v>197</v>
      </c>
    </row>
    <row r="26" spans="1:7" x14ac:dyDescent="0.3">
      <c r="A26" s="29" t="s">
        <v>142</v>
      </c>
      <c r="B26" s="29" t="s">
        <v>139</v>
      </c>
      <c r="C26" s="29" t="s">
        <v>183</v>
      </c>
      <c r="D26" s="29" t="s">
        <v>198</v>
      </c>
      <c r="E26" s="29" t="s">
        <v>163</v>
      </c>
      <c r="F26" s="29">
        <v>403</v>
      </c>
      <c r="G26" s="29" t="s">
        <v>199</v>
      </c>
    </row>
    <row r="27" spans="1:7" x14ac:dyDescent="0.3">
      <c r="A27" s="27" t="s">
        <v>213</v>
      </c>
      <c r="B27" s="27" t="s">
        <v>14</v>
      </c>
      <c r="C27" s="27" t="s">
        <v>252</v>
      </c>
      <c r="D27" s="27" t="s">
        <v>162</v>
      </c>
      <c r="E27" s="28" t="s">
        <v>163</v>
      </c>
      <c r="F27" s="27">
        <v>200</v>
      </c>
      <c r="G27" s="27" t="s">
        <v>253</v>
      </c>
    </row>
    <row r="28" spans="1:7" x14ac:dyDescent="0.3">
      <c r="A28" s="27" t="s">
        <v>217</v>
      </c>
      <c r="B28" s="27" t="s">
        <v>14</v>
      </c>
      <c r="C28" s="27" t="s">
        <v>254</v>
      </c>
      <c r="D28" s="27" t="s">
        <v>162</v>
      </c>
      <c r="E28" s="28" t="s">
        <v>163</v>
      </c>
      <c r="F28" s="27">
        <v>400</v>
      </c>
      <c r="G28" s="27" t="s">
        <v>255</v>
      </c>
    </row>
    <row r="29" spans="1:7" x14ac:dyDescent="0.3">
      <c r="A29" s="27" t="s">
        <v>220</v>
      </c>
      <c r="B29" s="27" t="s">
        <v>14</v>
      </c>
      <c r="C29" s="27" t="s">
        <v>256</v>
      </c>
      <c r="D29" s="27" t="s">
        <v>162</v>
      </c>
      <c r="E29" s="28" t="s">
        <v>163</v>
      </c>
      <c r="F29" s="27">
        <v>400</v>
      </c>
      <c r="G29" s="27" t="s">
        <v>255</v>
      </c>
    </row>
    <row r="30" spans="1:7" x14ac:dyDescent="0.3">
      <c r="A30" s="27" t="s">
        <v>223</v>
      </c>
      <c r="B30" s="27" t="s">
        <v>14</v>
      </c>
      <c r="C30" s="27" t="s">
        <v>257</v>
      </c>
      <c r="D30" s="27" t="s">
        <v>162</v>
      </c>
      <c r="E30" s="28" t="s">
        <v>163</v>
      </c>
      <c r="F30" s="27">
        <v>400</v>
      </c>
      <c r="G30" s="27" t="s">
        <v>258</v>
      </c>
    </row>
    <row r="31" spans="1:7" x14ac:dyDescent="0.3">
      <c r="A31" s="27" t="s">
        <v>226</v>
      </c>
      <c r="B31" s="27" t="s">
        <v>14</v>
      </c>
      <c r="C31" s="27" t="s">
        <v>259</v>
      </c>
      <c r="D31" s="27" t="s">
        <v>162</v>
      </c>
      <c r="E31" s="28" t="s">
        <v>163</v>
      </c>
      <c r="F31" s="27">
        <v>200</v>
      </c>
      <c r="G31" s="27" t="s">
        <v>271</v>
      </c>
    </row>
    <row r="32" spans="1:7" x14ac:dyDescent="0.3">
      <c r="A32" s="27" t="s">
        <v>230</v>
      </c>
      <c r="B32" s="27" t="s">
        <v>14</v>
      </c>
      <c r="C32" s="27" t="s">
        <v>260</v>
      </c>
      <c r="D32" s="27" t="s">
        <v>162</v>
      </c>
      <c r="E32" s="28" t="s">
        <v>163</v>
      </c>
      <c r="F32" s="27">
        <v>400</v>
      </c>
      <c r="G32" s="27" t="s">
        <v>261</v>
      </c>
    </row>
    <row r="33" spans="1:7" x14ac:dyDescent="0.3">
      <c r="A33" s="27" t="s">
        <v>233</v>
      </c>
      <c r="B33" s="27" t="s">
        <v>14</v>
      </c>
      <c r="C33" s="27" t="s">
        <v>262</v>
      </c>
      <c r="D33" s="27" t="s">
        <v>162</v>
      </c>
      <c r="E33" s="28" t="s">
        <v>163</v>
      </c>
      <c r="F33" s="27">
        <v>400</v>
      </c>
      <c r="G33" s="27" t="s">
        <v>261</v>
      </c>
    </row>
    <row r="34" spans="1:7" x14ac:dyDescent="0.3">
      <c r="A34" s="27" t="s">
        <v>236</v>
      </c>
      <c r="B34" s="27" t="s">
        <v>14</v>
      </c>
      <c r="C34" s="27" t="s">
        <v>263</v>
      </c>
      <c r="D34" s="27" t="s">
        <v>162</v>
      </c>
      <c r="E34" s="28" t="s">
        <v>163</v>
      </c>
      <c r="F34" s="27">
        <v>400</v>
      </c>
      <c r="G34" s="27" t="s">
        <v>264</v>
      </c>
    </row>
    <row r="35" spans="1:7" x14ac:dyDescent="0.3">
      <c r="A35" s="27" t="s">
        <v>238</v>
      </c>
      <c r="B35" s="27" t="s">
        <v>14</v>
      </c>
      <c r="C35" s="27" t="s">
        <v>265</v>
      </c>
      <c r="D35" s="27" t="s">
        <v>162</v>
      </c>
      <c r="E35" s="28" t="s">
        <v>163</v>
      </c>
      <c r="F35" s="27">
        <v>400</v>
      </c>
      <c r="G35" s="27" t="s">
        <v>264</v>
      </c>
    </row>
    <row r="36" spans="1:7" x14ac:dyDescent="0.3">
      <c r="A36" s="27" t="s">
        <v>241</v>
      </c>
      <c r="B36" s="27" t="s">
        <v>14</v>
      </c>
      <c r="C36" s="27" t="s">
        <v>266</v>
      </c>
      <c r="D36" s="27" t="s">
        <v>162</v>
      </c>
      <c r="E36" s="28" t="s">
        <v>163</v>
      </c>
      <c r="F36" s="27">
        <v>400</v>
      </c>
      <c r="G36" s="27" t="s">
        <v>267</v>
      </c>
    </row>
    <row r="37" spans="1:7" x14ac:dyDescent="0.3">
      <c r="A37" s="27" t="s">
        <v>243</v>
      </c>
      <c r="B37" s="27" t="s">
        <v>14</v>
      </c>
      <c r="C37" s="27" t="s">
        <v>268</v>
      </c>
      <c r="D37" s="27" t="s">
        <v>162</v>
      </c>
      <c r="E37" s="28" t="s">
        <v>163</v>
      </c>
      <c r="F37" s="27">
        <v>400</v>
      </c>
      <c r="G37" s="27" t="s">
        <v>267</v>
      </c>
    </row>
    <row r="38" spans="1:7" x14ac:dyDescent="0.3">
      <c r="A38" s="27" t="s">
        <v>272</v>
      </c>
      <c r="B38" s="27" t="s">
        <v>14</v>
      </c>
      <c r="C38" s="27" t="s">
        <v>269</v>
      </c>
      <c r="D38" s="27" t="s">
        <v>162</v>
      </c>
      <c r="E38" s="28" t="s">
        <v>163</v>
      </c>
      <c r="F38" s="27">
        <v>200</v>
      </c>
      <c r="G38" s="27" t="s">
        <v>270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C63D4-393A-4871-AE63-6C3C278E275A}">
  <dimension ref="A1:J38"/>
  <sheetViews>
    <sheetView topLeftCell="A22" workbookViewId="0">
      <selection activeCell="G42" sqref="G42"/>
    </sheetView>
  </sheetViews>
  <sheetFormatPr defaultRowHeight="14.4" x14ac:dyDescent="0.3"/>
  <cols>
    <col min="1" max="1" width="24.109375" customWidth="1"/>
    <col min="2" max="2" width="38.44140625" customWidth="1"/>
    <col min="3" max="3" width="11.5546875" customWidth="1"/>
    <col min="4" max="4" width="21.44140625" customWidth="1"/>
    <col min="5" max="5" width="22" customWidth="1"/>
    <col min="6" max="6" width="18.44140625" customWidth="1"/>
    <col min="7" max="7" width="24.44140625" customWidth="1"/>
    <col min="10" max="10" width="15.21875" customWidth="1"/>
  </cols>
  <sheetData>
    <row r="1" spans="1:10" x14ac:dyDescent="0.3">
      <c r="A1" t="s">
        <v>1</v>
      </c>
      <c r="B1" t="s">
        <v>5</v>
      </c>
      <c r="C1" t="s">
        <v>3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</row>
    <row r="2" spans="1:10" x14ac:dyDescent="0.3">
      <c r="A2" t="s">
        <v>12</v>
      </c>
      <c r="B2" t="s">
        <v>16</v>
      </c>
      <c r="C2" t="s">
        <v>14</v>
      </c>
      <c r="D2">
        <v>200</v>
      </c>
      <c r="H2" t="s">
        <v>19</v>
      </c>
    </row>
    <row r="3" spans="1:10" x14ac:dyDescent="0.3">
      <c r="A3" t="s">
        <v>20</v>
      </c>
      <c r="B3" t="s">
        <v>21</v>
      </c>
      <c r="C3" t="s">
        <v>14</v>
      </c>
      <c r="D3">
        <v>200</v>
      </c>
      <c r="H3" t="s">
        <v>19</v>
      </c>
    </row>
    <row r="4" spans="1:10" x14ac:dyDescent="0.3">
      <c r="A4" t="s">
        <v>26</v>
      </c>
      <c r="B4" t="s">
        <v>27</v>
      </c>
      <c r="C4" t="s">
        <v>14</v>
      </c>
      <c r="D4">
        <v>200</v>
      </c>
      <c r="H4" t="s">
        <v>19</v>
      </c>
    </row>
    <row r="5" spans="1:10" x14ac:dyDescent="0.3">
      <c r="A5" t="s">
        <v>29</v>
      </c>
      <c r="B5" t="s">
        <v>30</v>
      </c>
      <c r="C5" t="s">
        <v>14</v>
      </c>
      <c r="D5">
        <v>200</v>
      </c>
      <c r="H5" t="s">
        <v>19</v>
      </c>
    </row>
    <row r="6" spans="1:10" x14ac:dyDescent="0.3">
      <c r="A6" t="s">
        <v>32</v>
      </c>
      <c r="B6" t="s">
        <v>33</v>
      </c>
      <c r="C6" t="s">
        <v>14</v>
      </c>
      <c r="D6">
        <v>200</v>
      </c>
      <c r="H6" t="s">
        <v>19</v>
      </c>
    </row>
    <row r="7" spans="1:10" x14ac:dyDescent="0.3">
      <c r="A7" t="s">
        <v>37</v>
      </c>
      <c r="B7" t="s">
        <v>38</v>
      </c>
      <c r="C7" t="s">
        <v>14</v>
      </c>
      <c r="D7">
        <v>200</v>
      </c>
      <c r="H7" t="s">
        <v>19</v>
      </c>
    </row>
    <row r="8" spans="1:10" x14ac:dyDescent="0.3">
      <c r="A8" t="s">
        <v>39</v>
      </c>
      <c r="B8" t="s">
        <v>40</v>
      </c>
      <c r="C8" t="s">
        <v>14</v>
      </c>
      <c r="D8">
        <v>200</v>
      </c>
      <c r="H8" t="s">
        <v>19</v>
      </c>
    </row>
    <row r="9" spans="1:10" x14ac:dyDescent="0.3">
      <c r="A9" t="s">
        <v>42</v>
      </c>
      <c r="B9" t="s">
        <v>43</v>
      </c>
      <c r="C9" t="s">
        <v>14</v>
      </c>
      <c r="D9">
        <v>200</v>
      </c>
      <c r="H9" t="s">
        <v>19</v>
      </c>
    </row>
    <row r="10" spans="1:10" x14ac:dyDescent="0.3">
      <c r="A10" t="s">
        <v>47</v>
      </c>
      <c r="B10" t="s">
        <v>48</v>
      </c>
      <c r="C10" t="s">
        <v>14</v>
      </c>
      <c r="D10">
        <v>200</v>
      </c>
      <c r="H10" t="s">
        <v>19</v>
      </c>
    </row>
    <row r="11" spans="1:10" x14ac:dyDescent="0.3">
      <c r="A11" t="s">
        <v>51</v>
      </c>
      <c r="B11" t="s">
        <v>52</v>
      </c>
      <c r="C11" t="s">
        <v>14</v>
      </c>
      <c r="D11">
        <v>200</v>
      </c>
      <c r="H11" t="s">
        <v>19</v>
      </c>
    </row>
    <row r="12" spans="1:10" x14ac:dyDescent="0.3">
      <c r="A12" t="s">
        <v>54</v>
      </c>
      <c r="B12" t="s">
        <v>55</v>
      </c>
      <c r="C12" t="s">
        <v>14</v>
      </c>
      <c r="D12">
        <v>200</v>
      </c>
      <c r="H12" t="s">
        <v>19</v>
      </c>
    </row>
    <row r="13" spans="1:10" x14ac:dyDescent="0.3">
      <c r="A13" t="s">
        <v>57</v>
      </c>
      <c r="B13" t="s">
        <v>58</v>
      </c>
      <c r="C13" t="s">
        <v>14</v>
      </c>
      <c r="D13">
        <v>200</v>
      </c>
      <c r="H13" t="s">
        <v>19</v>
      </c>
    </row>
    <row r="14" spans="1:10" x14ac:dyDescent="0.3">
      <c r="A14" t="s">
        <v>60</v>
      </c>
      <c r="B14" t="s">
        <v>61</v>
      </c>
      <c r="C14" t="s">
        <v>14</v>
      </c>
      <c r="D14">
        <v>200</v>
      </c>
      <c r="H14" t="s">
        <v>19</v>
      </c>
    </row>
    <row r="15" spans="1:10" x14ac:dyDescent="0.3">
      <c r="A15" t="s">
        <v>63</v>
      </c>
      <c r="B15" t="s">
        <v>64</v>
      </c>
      <c r="C15" t="s">
        <v>14</v>
      </c>
      <c r="D15">
        <v>200</v>
      </c>
      <c r="H15" t="s">
        <v>19</v>
      </c>
    </row>
    <row r="16" spans="1:10" x14ac:dyDescent="0.3">
      <c r="A16" t="s">
        <v>65</v>
      </c>
      <c r="B16" t="s">
        <v>67</v>
      </c>
      <c r="C16" t="s">
        <v>14</v>
      </c>
      <c r="D16">
        <v>200</v>
      </c>
      <c r="H16" t="s">
        <v>19</v>
      </c>
    </row>
    <row r="17" spans="1:10" x14ac:dyDescent="0.3">
      <c r="A17" t="s">
        <v>68</v>
      </c>
      <c r="B17" t="s">
        <v>69</v>
      </c>
      <c r="C17" t="s">
        <v>14</v>
      </c>
      <c r="D17">
        <v>200</v>
      </c>
      <c r="H17" t="s">
        <v>19</v>
      </c>
    </row>
    <row r="18" spans="1:10" x14ac:dyDescent="0.3">
      <c r="A18" t="s">
        <v>71</v>
      </c>
      <c r="B18" t="s">
        <v>72</v>
      </c>
      <c r="C18" t="s">
        <v>14</v>
      </c>
      <c r="D18">
        <v>200</v>
      </c>
      <c r="H18" t="s">
        <v>19</v>
      </c>
    </row>
    <row r="19" spans="1:10" x14ac:dyDescent="0.3">
      <c r="A19" t="s">
        <v>110</v>
      </c>
      <c r="B19" t="s">
        <v>111</v>
      </c>
      <c r="C19" t="s">
        <v>14</v>
      </c>
      <c r="D19">
        <v>200</v>
      </c>
      <c r="H19" t="s">
        <v>19</v>
      </c>
    </row>
    <row r="20" spans="1:10" x14ac:dyDescent="0.3">
      <c r="A20" t="s">
        <v>113</v>
      </c>
      <c r="B20" t="s">
        <v>114</v>
      </c>
      <c r="C20" t="s">
        <v>14</v>
      </c>
      <c r="D20">
        <v>404</v>
      </c>
      <c r="H20" t="s">
        <v>19</v>
      </c>
    </row>
    <row r="21" spans="1:10" x14ac:dyDescent="0.3">
      <c r="A21" t="s">
        <v>118</v>
      </c>
      <c r="B21" t="s">
        <v>120</v>
      </c>
      <c r="C21" t="s">
        <v>119</v>
      </c>
      <c r="D21">
        <v>201</v>
      </c>
      <c r="H21" t="s">
        <v>19</v>
      </c>
    </row>
    <row r="22" spans="1:10" x14ac:dyDescent="0.3">
      <c r="A22" t="s">
        <v>125</v>
      </c>
      <c r="B22" t="s">
        <v>126</v>
      </c>
      <c r="C22" t="s">
        <v>119</v>
      </c>
      <c r="D22">
        <v>400</v>
      </c>
      <c r="H22" t="s">
        <v>19</v>
      </c>
    </row>
    <row r="23" spans="1:10" x14ac:dyDescent="0.3">
      <c r="A23" t="s">
        <v>128</v>
      </c>
      <c r="B23" t="s">
        <v>130</v>
      </c>
      <c r="C23" t="s">
        <v>129</v>
      </c>
      <c r="D23">
        <v>200</v>
      </c>
      <c r="H23" t="s">
        <v>19</v>
      </c>
    </row>
    <row r="24" spans="1:10" x14ac:dyDescent="0.3">
      <c r="A24" t="s">
        <v>134</v>
      </c>
      <c r="B24" t="s">
        <v>135</v>
      </c>
      <c r="C24" t="s">
        <v>129</v>
      </c>
      <c r="D24">
        <v>404</v>
      </c>
      <c r="H24" t="s">
        <v>19</v>
      </c>
    </row>
    <row r="25" spans="1:10" x14ac:dyDescent="0.3">
      <c r="A25" t="s">
        <v>138</v>
      </c>
      <c r="B25" t="s">
        <v>140</v>
      </c>
      <c r="C25" t="s">
        <v>139</v>
      </c>
      <c r="D25">
        <v>200</v>
      </c>
      <c r="H25" t="s">
        <v>19</v>
      </c>
    </row>
    <row r="26" spans="1:10" x14ac:dyDescent="0.3">
      <c r="A26" t="s">
        <v>142</v>
      </c>
      <c r="B26" t="s">
        <v>143</v>
      </c>
      <c r="C26" t="s">
        <v>139</v>
      </c>
      <c r="D26">
        <v>403</v>
      </c>
      <c r="H26" t="s">
        <v>19</v>
      </c>
    </row>
    <row r="27" spans="1:10" x14ac:dyDescent="0.3">
      <c r="A27" s="30" t="s">
        <v>213</v>
      </c>
      <c r="B27" s="30" t="s">
        <v>211</v>
      </c>
      <c r="C27" s="30" t="s">
        <v>14</v>
      </c>
      <c r="D27" s="30">
        <v>200</v>
      </c>
      <c r="E27" s="30"/>
      <c r="F27" s="30"/>
      <c r="G27" s="30"/>
      <c r="H27" s="30" t="s">
        <v>19</v>
      </c>
      <c r="I27" s="30"/>
      <c r="J27" s="30"/>
    </row>
    <row r="28" spans="1:10" x14ac:dyDescent="0.3">
      <c r="A28" s="30" t="s">
        <v>217</v>
      </c>
      <c r="B28" s="30" t="s">
        <v>214</v>
      </c>
      <c r="C28" s="30" t="s">
        <v>14</v>
      </c>
      <c r="D28" s="30">
        <v>400</v>
      </c>
      <c r="E28" s="30"/>
      <c r="F28" s="30"/>
      <c r="G28" s="30"/>
      <c r="H28" s="30" t="s">
        <v>19</v>
      </c>
      <c r="I28" s="30"/>
      <c r="J28" s="30"/>
    </row>
    <row r="29" spans="1:10" x14ac:dyDescent="0.3">
      <c r="A29" s="30" t="s">
        <v>220</v>
      </c>
      <c r="B29" s="30" t="s">
        <v>218</v>
      </c>
      <c r="C29" s="30" t="s">
        <v>14</v>
      </c>
      <c r="D29" s="30">
        <v>400</v>
      </c>
      <c r="E29" s="30"/>
      <c r="F29" s="30"/>
      <c r="G29" s="30"/>
      <c r="H29" s="30" t="s">
        <v>19</v>
      </c>
      <c r="I29" s="30"/>
      <c r="J29" s="30"/>
    </row>
    <row r="30" spans="1:10" x14ac:dyDescent="0.3">
      <c r="A30" s="30" t="s">
        <v>223</v>
      </c>
      <c r="B30" s="30" t="s">
        <v>221</v>
      </c>
      <c r="C30" s="30" t="s">
        <v>14</v>
      </c>
      <c r="D30" s="30">
        <v>400</v>
      </c>
      <c r="E30" s="30"/>
      <c r="F30" s="30"/>
      <c r="G30" s="30"/>
      <c r="H30" s="30" t="s">
        <v>19</v>
      </c>
      <c r="I30" s="30"/>
      <c r="J30" s="30"/>
    </row>
    <row r="31" spans="1:10" x14ac:dyDescent="0.3">
      <c r="A31" s="30" t="s">
        <v>226</v>
      </c>
      <c r="B31" s="30" t="s">
        <v>224</v>
      </c>
      <c r="C31" s="30" t="s">
        <v>14</v>
      </c>
      <c r="D31" s="30">
        <v>200</v>
      </c>
      <c r="E31" s="30"/>
      <c r="F31" s="30"/>
      <c r="G31" s="30"/>
      <c r="H31" s="30" t="s">
        <v>19</v>
      </c>
      <c r="I31" s="30"/>
      <c r="J31" s="30"/>
    </row>
    <row r="32" spans="1:10" x14ac:dyDescent="0.3">
      <c r="A32" s="30" t="s">
        <v>230</v>
      </c>
      <c r="B32" s="30" t="s">
        <v>227</v>
      </c>
      <c r="C32" s="30" t="s">
        <v>14</v>
      </c>
      <c r="D32" s="30">
        <v>400</v>
      </c>
      <c r="E32" s="30"/>
      <c r="F32" s="30"/>
      <c r="G32" s="30"/>
      <c r="H32" s="30" t="s">
        <v>19</v>
      </c>
      <c r="I32" s="30"/>
      <c r="J32" s="30"/>
    </row>
    <row r="33" spans="1:10" x14ac:dyDescent="0.3">
      <c r="A33" s="30" t="s">
        <v>233</v>
      </c>
      <c r="B33" s="30" t="s">
        <v>231</v>
      </c>
      <c r="C33" s="30" t="s">
        <v>14</v>
      </c>
      <c r="D33" s="30">
        <v>400</v>
      </c>
      <c r="E33" s="30"/>
      <c r="F33" s="30"/>
      <c r="G33" s="30"/>
      <c r="H33" s="30" t="s">
        <v>19</v>
      </c>
      <c r="I33" s="30"/>
      <c r="J33" s="30"/>
    </row>
    <row r="34" spans="1:10" x14ac:dyDescent="0.3">
      <c r="A34" s="30" t="s">
        <v>236</v>
      </c>
      <c r="B34" s="30" t="s">
        <v>234</v>
      </c>
      <c r="C34" s="30" t="s">
        <v>14</v>
      </c>
      <c r="D34" s="30">
        <v>400</v>
      </c>
      <c r="E34" s="30"/>
      <c r="F34" s="30"/>
      <c r="G34" s="30"/>
      <c r="H34" s="30" t="s">
        <v>19</v>
      </c>
      <c r="I34" s="30"/>
      <c r="J34" s="30"/>
    </row>
    <row r="35" spans="1:10" x14ac:dyDescent="0.3">
      <c r="A35" s="30" t="s">
        <v>238</v>
      </c>
      <c r="B35" s="30" t="s">
        <v>237</v>
      </c>
      <c r="C35" s="30" t="s">
        <v>14</v>
      </c>
      <c r="D35" s="30">
        <v>400</v>
      </c>
      <c r="E35" s="30"/>
      <c r="F35" s="30"/>
      <c r="G35" s="30"/>
      <c r="H35" s="30" t="s">
        <v>19</v>
      </c>
      <c r="I35" s="30"/>
      <c r="J35" s="30"/>
    </row>
    <row r="36" spans="1:10" x14ac:dyDescent="0.3">
      <c r="A36" s="30" t="s">
        <v>241</v>
      </c>
      <c r="B36" s="30" t="s">
        <v>239</v>
      </c>
      <c r="C36" s="30" t="s">
        <v>14</v>
      </c>
      <c r="D36" s="30">
        <v>400</v>
      </c>
      <c r="E36" s="30"/>
      <c r="F36" s="30"/>
      <c r="G36" s="30"/>
      <c r="H36" s="30" t="s">
        <v>19</v>
      </c>
      <c r="I36" s="30"/>
      <c r="J36" s="30"/>
    </row>
    <row r="37" spans="1:10" x14ac:dyDescent="0.3">
      <c r="A37" s="30" t="s">
        <v>243</v>
      </c>
      <c r="B37" s="30" t="s">
        <v>242</v>
      </c>
      <c r="C37" s="30" t="s">
        <v>14</v>
      </c>
      <c r="D37" s="30">
        <v>400</v>
      </c>
      <c r="E37" s="30"/>
      <c r="F37" s="30"/>
      <c r="G37" s="30"/>
      <c r="H37" s="30" t="s">
        <v>19</v>
      </c>
      <c r="I37" s="30"/>
      <c r="J37" s="30"/>
    </row>
    <row r="38" spans="1:10" x14ac:dyDescent="0.3">
      <c r="A38" s="30" t="s">
        <v>272</v>
      </c>
      <c r="B38" s="30" t="s">
        <v>284</v>
      </c>
      <c r="C38" s="30" t="s">
        <v>14</v>
      </c>
      <c r="D38" s="30">
        <v>200</v>
      </c>
      <c r="E38" s="30"/>
      <c r="F38" s="30"/>
      <c r="G38" s="30"/>
      <c r="H38" s="30" t="s">
        <v>19</v>
      </c>
      <c r="I38" s="30"/>
      <c r="J38" s="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F9D3-90F6-42CF-9FB3-7ED1F586AFC5}">
  <dimension ref="A1:B13"/>
  <sheetViews>
    <sheetView tabSelected="1" workbookViewId="0">
      <selection activeCell="M12" sqref="M12"/>
    </sheetView>
  </sheetViews>
  <sheetFormatPr defaultRowHeight="14.4" x14ac:dyDescent="0.3"/>
  <cols>
    <col min="1" max="1" width="19.21875" customWidth="1"/>
    <col min="2" max="2" width="21.44140625" customWidth="1"/>
  </cols>
  <sheetData>
    <row r="1" spans="1:2" ht="16.8" x14ac:dyDescent="0.3">
      <c r="A1" s="22" t="s">
        <v>210</v>
      </c>
      <c r="B1" s="1"/>
    </row>
    <row r="2" spans="1:2" ht="16.8" x14ac:dyDescent="0.3">
      <c r="A2" s="2" t="s">
        <v>147</v>
      </c>
      <c r="B2" s="3">
        <f>COUNTA(Product_TestCases!A3:A44)</f>
        <v>37</v>
      </c>
    </row>
    <row r="3" spans="1:2" ht="16.8" x14ac:dyDescent="0.3">
      <c r="A3" s="4" t="s">
        <v>73</v>
      </c>
      <c r="B3" s="5">
        <f>COUNTIF(Product_TestCases!J3:J44, "High")</f>
        <v>24</v>
      </c>
    </row>
    <row r="4" spans="1:2" ht="16.8" x14ac:dyDescent="0.3">
      <c r="A4" s="6" t="s">
        <v>74</v>
      </c>
      <c r="B4" s="7">
        <f>COUNTIF(Product_TestCases!J3:J44,"Medium")</f>
        <v>11</v>
      </c>
    </row>
    <row r="5" spans="1:2" ht="16.8" x14ac:dyDescent="0.3">
      <c r="A5" s="8" t="s">
        <v>148</v>
      </c>
      <c r="B5" s="9">
        <f>COUNTIF(Product_TestCases!J3:J44,"Low")</f>
        <v>2</v>
      </c>
    </row>
    <row r="6" spans="1:2" ht="16.8" x14ac:dyDescent="0.3">
      <c r="A6" s="10" t="s">
        <v>75</v>
      </c>
      <c r="B6" s="11">
        <f>COUNTIF(Product_TestCases!K3:K44,"Pass")</f>
        <v>0</v>
      </c>
    </row>
    <row r="7" spans="1:2" ht="17.399999999999999" x14ac:dyDescent="0.3">
      <c r="A7" t="s">
        <v>76</v>
      </c>
      <c r="B7" s="23">
        <f>COUNTIF(Product_TestCases!K3:K44,"Fail")</f>
        <v>0</v>
      </c>
    </row>
    <row r="8" spans="1:2" ht="16.8" x14ac:dyDescent="0.3">
      <c r="A8" s="12" t="s">
        <v>19</v>
      </c>
      <c r="B8" s="13">
        <f>COUNTIF(Product_TestCases!K3:K44,"Not Run")</f>
        <v>37</v>
      </c>
    </row>
    <row r="9" spans="1:2" ht="16.8" x14ac:dyDescent="0.3">
      <c r="A9" s="14" t="s">
        <v>77</v>
      </c>
      <c r="B9" s="15">
        <f>COUNTIF(Product_TestCases!C3:C44,"POST")</f>
        <v>2</v>
      </c>
    </row>
    <row r="10" spans="1:2" ht="16.8" x14ac:dyDescent="0.3">
      <c r="A10" s="16" t="s">
        <v>78</v>
      </c>
      <c r="B10" s="17">
        <f>COUNTIF(Product_TestCases!C3:C44,"GET")</f>
        <v>31</v>
      </c>
    </row>
    <row r="11" spans="1:2" ht="16.8" x14ac:dyDescent="0.3">
      <c r="A11" s="18" t="s">
        <v>79</v>
      </c>
      <c r="B11" s="19">
        <f>COUNTIF(Product_TestCases!C3:C44,"PUT")</f>
        <v>2</v>
      </c>
    </row>
    <row r="12" spans="1:2" ht="17.399999999999999" x14ac:dyDescent="0.3">
      <c r="A12" t="s">
        <v>80</v>
      </c>
      <c r="B12" s="23">
        <f>COUNTIF(Product_TestCases!C3:C44,"DELETE")</f>
        <v>2</v>
      </c>
    </row>
    <row r="13" spans="1:2" ht="16.8" x14ac:dyDescent="0.3">
      <c r="A13" s="20" t="s">
        <v>81</v>
      </c>
      <c r="B13" s="21">
        <f>IF(COUNTA(Product_TestCases!A3:A44)&gt;0,(COUNTIF(Product_TestCases!K3:K44,"Pass")/COUNTA(Product_TestCases!A3:A44))*100,0)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Product_TestCases</vt:lpstr>
      <vt:lpstr>API_Reference</vt:lpstr>
      <vt:lpstr>Execution_Log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Minh Vũ Trịnh</cp:lastModifiedBy>
  <dcterms:created xsi:type="dcterms:W3CDTF">2015-06-05T18:17:20Z</dcterms:created>
  <dcterms:modified xsi:type="dcterms:W3CDTF">2026-06-09T16:13:07Z</dcterms:modified>
</cp:coreProperties>
</file>
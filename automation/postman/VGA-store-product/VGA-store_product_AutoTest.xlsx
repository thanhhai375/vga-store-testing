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bỏ tạm\"/>
    </mc:Choice>
  </mc:AlternateContent>
  <xr:revisionPtr revIDLastSave="0" documentId="13_ncr:1_{4ADCE0E6-A9F0-45AE-B428-A9E865321DB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roduct_TestCases" sheetId="5" r:id="rId1"/>
    <sheet name="API_Reference" sheetId="2" r:id="rId2"/>
    <sheet name="Execution_Log" sheetId="6" r:id="rId3"/>
    <sheet name="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4" l="1"/>
  <c r="B12" i="4"/>
  <c r="B11" i="4"/>
  <c r="B10" i="4"/>
  <c r="B9" i="4"/>
  <c r="B8" i="4"/>
  <c r="B7" i="4"/>
  <c r="B6" i="4"/>
  <c r="B5" i="4"/>
  <c r="B4" i="4"/>
  <c r="B3" i="4"/>
  <c r="B2" i="4"/>
</calcChain>
</file>

<file path=xl/sharedStrings.xml><?xml version="1.0" encoding="utf-8"?>
<sst xmlns="http://schemas.openxmlformats.org/spreadsheetml/2006/main" count="567" uniqueCount="211">
  <si>
    <t>VGA STORE – PRODUCT MODULE TEST CASES</t>
  </si>
  <si>
    <t>TC_ID</t>
  </si>
  <si>
    <t>Module</t>
  </si>
  <si>
    <t>Method</t>
  </si>
  <si>
    <t>Endpoint</t>
  </si>
  <si>
    <t>Test Case</t>
  </si>
  <si>
    <t>Precondition</t>
  </si>
  <si>
    <t>Test Steps</t>
  </si>
  <si>
    <t>Test Data</t>
  </si>
  <si>
    <t>Expected Result</t>
  </si>
  <si>
    <t>Priority</t>
  </si>
  <si>
    <t>Status</t>
  </si>
  <si>
    <t>TC_PROD_001</t>
  </si>
  <si>
    <t>Product</t>
  </si>
  <si>
    <t>GET</t>
  </si>
  <si>
    <t>/api/products</t>
  </si>
  <si>
    <t>Hiển thị danh sách VGA hợp lệ</t>
  </si>
  <si>
    <t>Người dùng truy cập trang sản phẩm</t>
  </si>
  <si>
    <t>High</t>
  </si>
  <si>
    <t>Not Run</t>
  </si>
  <si>
    <t>TC_PROD_002</t>
  </si>
  <si>
    <t>Kiểm tra số lượng sản phẩm hiển thị</t>
  </si>
  <si>
    <t>Đã có dữ liệu VGA trong database</t>
  </si>
  <si>
    <t>Không có bộ lọc</t>
  </si>
  <si>
    <t>Số lượng sản phẩm hiển thị đúng với dữ liệu hệ thống</t>
  </si>
  <si>
    <t>Medium</t>
  </si>
  <si>
    <t>TC_PROD_003</t>
  </si>
  <si>
    <t>Kiểm tra hình ảnh VGA hiển thị</t>
  </si>
  <si>
    <t>Đã có dữ liệu hình ảnh</t>
  </si>
  <si>
    <t>TC_PROD_004</t>
  </si>
  <si>
    <t>Kiểm tra giá VGA hiển thị đúng</t>
  </si>
  <si>
    <t>Đã có dữ liệu giá</t>
  </si>
  <si>
    <t>TC_PROD_005</t>
  </si>
  <si>
    <t>Kiểm tra tên hãng VGA hiển thị đúng</t>
  </si>
  <si>
    <t>Đã có dữ liệu hãng</t>
  </si>
  <si>
    <t>Tên hãng VGA hiển thị chính xác</t>
  </si>
  <si>
    <t>Low</t>
  </si>
  <si>
    <t>TC_PROD_006</t>
  </si>
  <si>
    <t>Kiểm tra phân trang trang đầu tiên</t>
  </si>
  <si>
    <t>TC_PROD_007</t>
  </si>
  <si>
    <t>Chuyển sang trang tiếp theo</t>
  </si>
  <si>
    <t>Có nhiều trang dữ liệu</t>
  </si>
  <si>
    <t>TC_PROD_013</t>
  </si>
  <si>
    <t>Tìm kiếm chính xác tên sản phẩm</t>
  </si>
  <si>
    <t>Sản phẩm cần tìm tồn tại</t>
  </si>
  <si>
    <t>search="RTX 4060"</t>
  </si>
  <si>
    <t>Danh sách hiển thị chính xác sản phẩm có tên trùng khớp</t>
  </si>
  <si>
    <t>TC_PROD_014</t>
  </si>
  <si>
    <t>Tìm kiếm không dấu hoặc chữ thường</t>
  </si>
  <si>
    <t>search="vga rtx"</t>
  </si>
  <si>
    <t>Hệ thống vẫn tìm ra sản phẩm phù hợp không phân biệt hoa/thường</t>
  </si>
  <si>
    <t>TC_PROD_015</t>
  </si>
  <si>
    <t>Lọc sản phẩm theo giá thấp đến cao</t>
  </si>
  <si>
    <t>sortBy="priceAsc"</t>
  </si>
  <si>
    <t>TC_PROD_016</t>
  </si>
  <si>
    <t>Lọc sản phẩm theo giá cao đến thấp</t>
  </si>
  <si>
    <t>sortBy="priceDesc"</t>
  </si>
  <si>
    <t>TC_PROD_017</t>
  </si>
  <si>
    <t>Lọc sản phẩm theo hãng NVIDIA</t>
  </si>
  <si>
    <t>brand="NVIDIA"</t>
  </si>
  <si>
    <t>TC_PROD_018</t>
  </si>
  <si>
    <t>Lọc sản phẩm theo hãng AMD</t>
  </si>
  <si>
    <t>brand="AMD"</t>
  </si>
  <si>
    <t>TC_PROD_019</t>
  </si>
  <si>
    <t>Kết hợp lọc giá và hãng</t>
  </si>
  <si>
    <t>TC_PROD_020</t>
  </si>
  <si>
    <t>/api/products/{id}</t>
  </si>
  <si>
    <t>Xem chi tiết sản phẩm VGA</t>
  </si>
  <si>
    <t>TC_PROD_021</t>
  </si>
  <si>
    <t>Kiểm tra thông số kỹ thuật VGA</t>
  </si>
  <si>
    <t>id=1</t>
  </si>
  <si>
    <t>TC_PROD_022</t>
  </si>
  <si>
    <t>Kiểm tra hình ảnh trong trang chi tiết</t>
  </si>
  <si>
    <t>High Priority</t>
  </si>
  <si>
    <t>Medium Priority</t>
  </si>
  <si>
    <t>Pass</t>
  </si>
  <si>
    <t>Fail</t>
  </si>
  <si>
    <t>POST TCs</t>
  </si>
  <si>
    <t>GET TCs</t>
  </si>
  <si>
    <t>PUT TCs</t>
  </si>
  <si>
    <t>DELETE TCs</t>
  </si>
  <si>
    <t>Pass Rate (%)</t>
  </si>
  <si>
    <t>1. Mở trang VGA</t>
  </si>
  <si>
    <t>Hình ảnh VGA hiển thị đúng không bị lỗi</t>
  </si>
  <si>
    <t>Giá VGA hiển thị đúng định dạng tiền tệ</t>
  </si>
  <si>
    <t>Có hơn 10 sản phẩm</t>
  </si>
  <si>
    <t>1. Nhấn nút Next</t>
  </si>
  <si>
    <t>1. Nhập từ khóa tìm kiếm</t>
  </si>
  <si>
    <t>1. Nhập từ khóa chữ thường</t>
  </si>
  <si>
    <t>Có dữ liệu giá</t>
  </si>
  <si>
    <t>1. Chọn lọc giá thấp đến cao</t>
  </si>
  <si>
    <t>Danh sách sản phẩm sắp xếp đúng tăng dần theo giá</t>
  </si>
  <si>
    <t>1. Chọn lọc giá cao đến thấp</t>
  </si>
  <si>
    <t>Danh sách sản phẩm sắp xếp đúng giảm dần theo giá</t>
  </si>
  <si>
    <t>Có sản phẩm NVIDIA</t>
  </si>
  <si>
    <t>1. Chọn hãng NVIDIA</t>
  </si>
  <si>
    <t>Chỉ hiển thị sản phẩm NVIDIA</t>
  </si>
  <si>
    <t>Có sản phẩm AMD</t>
  </si>
  <si>
    <t>1. Chọn hãng AMD</t>
  </si>
  <si>
    <t>Chỉ hiển thị sản phẩm AMD</t>
  </si>
  <si>
    <t>Có dữ liệu phù hợp</t>
  </si>
  <si>
    <t>1. Chọn hãng 2. Chọn khoảng giá</t>
  </si>
  <si>
    <t>Có dữ liệu sản phẩm</t>
  </si>
  <si>
    <t>1. Nhấn vào sản phẩm VGA</t>
  </si>
  <si>
    <t>Trang chi tiết sản phẩm hiển thị đầy đủ thông tin</t>
  </si>
  <si>
    <t>Có dữ liệu thông số</t>
  </si>
  <si>
    <t>1. Mở chi tiết VGA</t>
  </si>
  <si>
    <t>Thông số kỹ thuật hiển thị chính xác</t>
  </si>
  <si>
    <t>Có dữ liệu hình ảnh</t>
  </si>
  <si>
    <t>Hình ảnh liên quan hiển thị đầy đủ</t>
  </si>
  <si>
    <t>TC_PROD_023</t>
  </si>
  <si>
    <t>Kiểm tra giá trong trang chi tiết</t>
  </si>
  <si>
    <t>Giá sản phẩm hiển thị chính xác</t>
  </si>
  <si>
    <t>TC_PROD_024</t>
  </si>
  <si>
    <t>Kiểm tra truy cập sản phẩm không tồn tại</t>
  </si>
  <si>
    <t>Không có sản phẩm ID giả</t>
  </si>
  <si>
    <t>1. Truy cập URL sản phẩm không tồn tại</t>
  </si>
  <si>
    <t>id=99999</t>
  </si>
  <si>
    <t>TC_PROD_025</t>
  </si>
  <si>
    <t>POST</t>
  </si>
  <si>
    <t>Thêm mới sản phẩm VGA thành công</t>
  </si>
  <si>
    <t>Tài khoản Admin đã đăng nhập</t>
  </si>
  <si>
    <t>1. Gửi request thêm sản phẩm hợp lệ</t>
  </si>
  <si>
    <t>Body mẫu đầy đủ thông tin</t>
  </si>
  <si>
    <t>Hệ thống tạo sản phẩm thành công, trả về code 201</t>
  </si>
  <si>
    <t>TC_PROD_026</t>
  </si>
  <si>
    <t>Thêm mới sản phẩm thiếu thông tin bắt buộc</t>
  </si>
  <si>
    <t>Hệ thống báo lỗi Validation và trả về code 400</t>
  </si>
  <si>
    <t>TC_PROD_027</t>
  </si>
  <si>
    <t>PUT</t>
  </si>
  <si>
    <t>Cập nhật thông tin sản phẩm thành công</t>
  </si>
  <si>
    <t>Tài khoản Admin, sản phẩm có sẵn</t>
  </si>
  <si>
    <t>1. Gửi request cập nhật thông tin mới</t>
  </si>
  <si>
    <t>Thông tin sản phẩm được cập nhật, trả về code 200</t>
  </si>
  <si>
    <t>TC_PROD_028</t>
  </si>
  <si>
    <t>Cập nhật sản phẩm không tồn tại</t>
  </si>
  <si>
    <t>1. Gửi request cập nhật cho ID giả</t>
  </si>
  <si>
    <t>Hệ thống trả về lỗi không tìm thấy sản phẩm 404</t>
  </si>
  <si>
    <t>TC_PROD_029</t>
  </si>
  <si>
    <t>DELETE</t>
  </si>
  <si>
    <t>Xóa sản phẩm thành công</t>
  </si>
  <si>
    <t>1. Gửi request xóa theo ID</t>
  </si>
  <si>
    <t>TC_PROD_030</t>
  </si>
  <si>
    <t>Xóa sản phẩm không có quyền (User thường)</t>
  </si>
  <si>
    <t>Tài khoản User thường đăng nhập</t>
  </si>
  <si>
    <t>1. Gửi request xóa sản phẩm bằng token user</t>
  </si>
  <si>
    <t>Hệ thống từ chối, báo lỗi Forbidden 403</t>
  </si>
  <si>
    <t>Total Test Cases</t>
  </si>
  <si>
    <t>Low Priority</t>
  </si>
  <si>
    <t>Danh sách VGA hiển thị đầy đủ với hình ảnh tên giá và hãng</t>
  </si>
  <si>
    <t>page=1</t>
  </si>
  <si>
    <t>page=2</t>
  </si>
  <si>
    <t>Hiển thị thông báo lỗi hoặc 404</t>
  </si>
  <si>
    <t>1. Gửi request thiếu trường name</t>
  </si>
  <si>
    <t>Body không có name</t>
  </si>
  <si>
    <t>id=1, Body sửa giá/tên</t>
  </si>
  <si>
    <t>id=99999, Body sửa đổi</t>
  </si>
  <si>
    <t>Sản phẩm bị xóa khỏi hệ thống, trả về code 200</t>
  </si>
  <si>
    <t>Request Headers</t>
  </si>
  <si>
    <t>Request Body</t>
  </si>
  <si>
    <t>Expected HTTP Code</t>
  </si>
  <si>
    <t>Expected Response</t>
  </si>
  <si>
    <t>Content-Type: application/json</t>
  </si>
  <si>
    <t>(none)</t>
  </si>
  <si>
    <t>products: [</t>
  </si>
  <si>
    <t>totalItems:</t>
  </si>
  <si>
    <t>imageUrl:</t>
  </si>
  <si>
    <t>price:</t>
  </si>
  <si>
    <t>brand:</t>
  </si>
  <si>
    <t>/api/products?page=1&amp;limit=10</t>
  </si>
  <si>
    <t>currentPage: 1</t>
  </si>
  <si>
    <t>/api/products?page=2&amp;limit=10</t>
  </si>
  <si>
    <t>currentPage: 2</t>
  </si>
  <si>
    <t>/api/products?search=RTX 4060</t>
  </si>
  <si>
    <t>name: "RTX 4060"</t>
  </si>
  <si>
    <t>/api/products?search=vga rtx</t>
  </si>
  <si>
    <t>/api/products?sortBy=priceAsc</t>
  </si>
  <si>
    <t>/api/products?sortBy=priceDesc</t>
  </si>
  <si>
    <t>/api/products?brand=NVIDIA</t>
  </si>
  <si>
    <t>brand: "NVIDIA"</t>
  </si>
  <si>
    <t>/api/products?brand=AMD</t>
  </si>
  <si>
    <t>brand: "AMD"</t>
  </si>
  <si>
    <t>/api/products?brand=NVIDIA&amp;minPrice=5000000&amp;maxPrice=15000000</t>
  </si>
  <si>
    <t>/api/products/1</t>
  </si>
  <si>
    <t>id: 1</t>
  </si>
  <si>
    <t>specifications:</t>
  </si>
  <si>
    <t>images:</t>
  </si>
  <si>
    <t>/api/products/99999</t>
  </si>
  <si>
    <t>error</t>
  </si>
  <si>
    <t>Authorization: Bearer {{adminToken}}\nContent-Type: application/json</t>
  </si>
  <si>
    <t>{"name":"VGA RTX 5090","price":45000000,"brand":"NVIDIA"}</t>
  </si>
  <si>
    <t>message: "Thêm thành công"</t>
  </si>
  <si>
    <t>{"price":45000000,"brand":"NVIDIA"}</t>
  </si>
  <si>
    <t>validationError</t>
  </si>
  <si>
    <t>{"price":12500000}</t>
  </si>
  <si>
    <t>message: "Cập nhật thành công"</t>
  </si>
  <si>
    <t>Authorization: Bearer {{adminToken}}</t>
  </si>
  <si>
    <t>message: "Xóa thành công"</t>
  </si>
  <si>
    <t>Authorization: Bearer {{userToken}}</t>
  </si>
  <si>
    <t>message: "Không có quyền truy cập"</t>
  </si>
  <si>
    <t xml:space="preserve"> limit=10&amp;Trang đầu tiên hiển thị đúng số lượng sản phẩm</t>
  </si>
  <si>
    <t xml:space="preserve"> limit=10&amp;Hệ thống trả về dữ liệu thuộc trang tiếp theo chính xác</t>
  </si>
  <si>
    <t xml:space="preserve"> minPrice=5000000&amp; maxPrice=15000000, Kết quả hiển thị đúng điều kiện lọc</t>
  </si>
  <si>
    <t>Expected Status</t>
  </si>
  <si>
    <t>Actual Status</t>
  </si>
  <si>
    <t>Response Code</t>
  </si>
  <si>
    <t>Response Body (snippet)</t>
  </si>
  <si>
    <t>Result</t>
  </si>
  <si>
    <t>Tester</t>
  </si>
  <si>
    <t>Executed Date</t>
  </si>
  <si>
    <t>📊 PRODUCT MODULE – TEST SUMMARY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</si>
</sst>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&quot;%&quot;"/>
  </numFmts>
  <fonts count="15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3"/>
      <color rgb="FFC0392B"/>
      <name val="Arial"/>
      <family val="2"/>
    </font>
    <font>
      <b/>
      <sz val="13"/>
      <color rgb="FFE67E22"/>
      <name val="Arial"/>
      <family val="2"/>
    </font>
    <font>
      <b/>
      <sz val="13"/>
      <color rgb="FF1E8449"/>
      <name val="Arial"/>
      <family val="2"/>
    </font>
    <font>
      <b/>
      <sz val="13"/>
      <color rgb="FF922B21"/>
      <name val="Arial"/>
      <family val="2"/>
    </font>
    <font>
      <b/>
      <sz val="13"/>
      <color rgb="FF717D7E"/>
      <name val="Arial"/>
      <family val="2"/>
    </font>
    <font>
      <b/>
      <sz val="13"/>
      <color rgb="FF784212"/>
      <name val="Arial"/>
      <family val="2"/>
    </font>
    <font>
      <b/>
      <sz val="13"/>
      <color rgb="FF27AE60"/>
      <name val="Arial"/>
      <family val="2"/>
    </font>
    <font>
      <b/>
      <sz val="13"/>
      <color rgb="FF2980B9"/>
      <name val="Arial"/>
      <family val="2"/>
    </font>
    <font>
      <b/>
      <sz val="13"/>
      <color rgb="FFF39C12"/>
      <name val="Arial"/>
      <family val="2"/>
    </font>
    <font>
      <b/>
      <sz val="13"/>
      <color rgb="FFE74C3C"/>
      <name val="Arial"/>
      <family val="2"/>
    </font>
    <font>
      <b/>
      <sz val="13"/>
      <color rgb="FF1A5276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DFEFE"/>
      </patternFill>
    </fill>
    <fill>
      <patternFill patternType="solid">
        <fgColor rgb="FFE67E22"/>
      </patternFill>
    </fill>
    <fill>
      <patternFill patternType="solid">
        <fgColor rgb="FF1E8449"/>
      </patternFill>
    </fill>
    <fill>
      <patternFill patternType="solid">
        <fgColor rgb="FF922B21"/>
      </patternFill>
    </fill>
    <fill>
      <patternFill patternType="solid">
        <fgColor rgb="FF717D7E"/>
      </patternFill>
    </fill>
    <fill>
      <patternFill patternType="solid">
        <fgColor rgb="FF784212"/>
      </patternFill>
    </fill>
    <fill>
      <patternFill patternType="solid">
        <fgColor rgb="FF27AE60"/>
      </patternFill>
    </fill>
    <fill>
      <patternFill patternType="solid">
        <fgColor rgb="FF2980B9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1A527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left" vertical="center"/>
    </xf>
    <xf numFmtId="168" fontId="12" fillId="2" borderId="1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 applyAlignment="1">
      <alignment horizontal="center" vertical="center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FB171-A3AA-463B-838F-EDC01E820D15}">
  <dimension ref="A1:K27"/>
  <sheetViews>
    <sheetView workbookViewId="0">
      <selection activeCell="A10" sqref="A10"/>
    </sheetView>
  </sheetViews>
  <sheetFormatPr defaultRowHeight="14.4" x14ac:dyDescent="0.3"/>
  <cols>
    <col min="1" max="1" width="14.6640625" customWidth="1"/>
    <col min="3" max="3" width="23.88671875" customWidth="1"/>
    <col min="4" max="4" width="22.5546875" customWidth="1"/>
    <col min="5" max="5" width="43.109375" customWidth="1"/>
    <col min="6" max="6" width="40.77734375" customWidth="1"/>
    <col min="7" max="7" width="40.6640625" customWidth="1"/>
    <col min="8" max="8" width="30.88671875" customWidth="1"/>
    <col min="9" max="9" width="69.109375" customWidth="1"/>
    <col min="10" max="10" width="11.6640625" customWidth="1"/>
    <col min="11" max="11" width="9.44140625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82</v>
      </c>
      <c r="H3" t="s">
        <v>23</v>
      </c>
      <c r="I3" t="s">
        <v>149</v>
      </c>
      <c r="J3" t="s">
        <v>18</v>
      </c>
      <c r="K3" t="s">
        <v>19</v>
      </c>
    </row>
    <row r="4" spans="1:11" x14ac:dyDescent="0.3">
      <c r="A4" t="s">
        <v>20</v>
      </c>
      <c r="B4" t="s">
        <v>13</v>
      </c>
      <c r="C4" t="s">
        <v>14</v>
      </c>
      <c r="D4" t="s">
        <v>15</v>
      </c>
      <c r="E4" t="s">
        <v>21</v>
      </c>
      <c r="F4" t="s">
        <v>22</v>
      </c>
      <c r="G4" t="s">
        <v>82</v>
      </c>
      <c r="H4" t="s">
        <v>23</v>
      </c>
      <c r="I4" t="s">
        <v>24</v>
      </c>
      <c r="J4" t="s">
        <v>25</v>
      </c>
      <c r="K4" t="s">
        <v>19</v>
      </c>
    </row>
    <row r="5" spans="1:11" x14ac:dyDescent="0.3">
      <c r="A5" t="s">
        <v>26</v>
      </c>
      <c r="B5" t="s">
        <v>13</v>
      </c>
      <c r="C5" t="s">
        <v>14</v>
      </c>
      <c r="D5" t="s">
        <v>15</v>
      </c>
      <c r="E5" t="s">
        <v>27</v>
      </c>
      <c r="F5" t="s">
        <v>28</v>
      </c>
      <c r="G5" t="s">
        <v>82</v>
      </c>
      <c r="H5" t="s">
        <v>23</v>
      </c>
      <c r="I5" t="s">
        <v>83</v>
      </c>
      <c r="J5" t="s">
        <v>25</v>
      </c>
      <c r="K5" t="s">
        <v>19</v>
      </c>
    </row>
    <row r="6" spans="1:11" x14ac:dyDescent="0.3">
      <c r="A6" t="s">
        <v>29</v>
      </c>
      <c r="B6" t="s">
        <v>13</v>
      </c>
      <c r="C6" t="s">
        <v>14</v>
      </c>
      <c r="D6" t="s">
        <v>15</v>
      </c>
      <c r="E6" t="s">
        <v>30</v>
      </c>
      <c r="F6" t="s">
        <v>31</v>
      </c>
      <c r="G6" t="s">
        <v>82</v>
      </c>
      <c r="H6" t="s">
        <v>23</v>
      </c>
      <c r="I6" t="s">
        <v>84</v>
      </c>
      <c r="J6" t="s">
        <v>25</v>
      </c>
      <c r="K6" t="s">
        <v>19</v>
      </c>
    </row>
    <row r="7" spans="1:11" x14ac:dyDescent="0.3">
      <c r="A7" t="s">
        <v>32</v>
      </c>
      <c r="B7" t="s">
        <v>13</v>
      </c>
      <c r="C7" t="s">
        <v>14</v>
      </c>
      <c r="D7" t="s">
        <v>15</v>
      </c>
      <c r="E7" t="s">
        <v>33</v>
      </c>
      <c r="F7" t="s">
        <v>34</v>
      </c>
      <c r="G7" t="s">
        <v>82</v>
      </c>
      <c r="H7" t="s">
        <v>23</v>
      </c>
      <c r="I7" t="s">
        <v>35</v>
      </c>
      <c r="J7" t="s">
        <v>36</v>
      </c>
      <c r="K7" t="s">
        <v>19</v>
      </c>
    </row>
    <row r="8" spans="1:11" x14ac:dyDescent="0.3">
      <c r="A8" t="s">
        <v>37</v>
      </c>
      <c r="B8" t="s">
        <v>13</v>
      </c>
      <c r="C8" t="s">
        <v>14</v>
      </c>
      <c r="D8" t="s">
        <v>15</v>
      </c>
      <c r="E8" t="s">
        <v>38</v>
      </c>
      <c r="F8" t="s">
        <v>85</v>
      </c>
      <c r="G8" t="s">
        <v>82</v>
      </c>
      <c r="H8" t="s">
        <v>150</v>
      </c>
      <c r="I8" t="s">
        <v>200</v>
      </c>
      <c r="J8" t="s">
        <v>18</v>
      </c>
      <c r="K8" t="s">
        <v>19</v>
      </c>
    </row>
    <row r="9" spans="1:11" x14ac:dyDescent="0.3">
      <c r="A9" t="s">
        <v>39</v>
      </c>
      <c r="B9" t="s">
        <v>13</v>
      </c>
      <c r="C9" t="s">
        <v>14</v>
      </c>
      <c r="D9" t="s">
        <v>15</v>
      </c>
      <c r="E9" t="s">
        <v>40</v>
      </c>
      <c r="F9" t="s">
        <v>41</v>
      </c>
      <c r="G9" t="s">
        <v>86</v>
      </c>
      <c r="H9" t="s">
        <v>151</v>
      </c>
      <c r="I9" t="s">
        <v>201</v>
      </c>
      <c r="J9" t="s">
        <v>18</v>
      </c>
      <c r="K9" t="s">
        <v>19</v>
      </c>
    </row>
    <row r="10" spans="1:11" x14ac:dyDescent="0.3">
      <c r="A10" t="s">
        <v>42</v>
      </c>
      <c r="B10" t="s">
        <v>13</v>
      </c>
      <c r="C10" t="s">
        <v>14</v>
      </c>
      <c r="D10" t="s">
        <v>15</v>
      </c>
      <c r="E10" t="s">
        <v>43</v>
      </c>
      <c r="F10" t="s">
        <v>44</v>
      </c>
      <c r="G10" t="s">
        <v>87</v>
      </c>
      <c r="H10" t="s">
        <v>45</v>
      </c>
      <c r="I10" t="s">
        <v>46</v>
      </c>
      <c r="J10" t="s">
        <v>18</v>
      </c>
      <c r="K10" t="s">
        <v>19</v>
      </c>
    </row>
    <row r="11" spans="1:11" x14ac:dyDescent="0.3">
      <c r="A11" t="s">
        <v>47</v>
      </c>
      <c r="B11" t="s">
        <v>13</v>
      </c>
      <c r="C11" t="s">
        <v>14</v>
      </c>
      <c r="D11" t="s">
        <v>15</v>
      </c>
      <c r="E11" t="s">
        <v>48</v>
      </c>
      <c r="F11" t="s">
        <v>44</v>
      </c>
      <c r="G11" t="s">
        <v>88</v>
      </c>
      <c r="H11" t="s">
        <v>49</v>
      </c>
      <c r="I11" t="s">
        <v>50</v>
      </c>
      <c r="J11" t="s">
        <v>36</v>
      </c>
      <c r="K11" t="s">
        <v>19</v>
      </c>
    </row>
    <row r="12" spans="1:11" x14ac:dyDescent="0.3">
      <c r="A12" t="s">
        <v>51</v>
      </c>
      <c r="B12" t="s">
        <v>13</v>
      </c>
      <c r="C12" t="s">
        <v>14</v>
      </c>
      <c r="D12" t="s">
        <v>15</v>
      </c>
      <c r="E12" t="s">
        <v>52</v>
      </c>
      <c r="F12" t="s">
        <v>89</v>
      </c>
      <c r="G12" t="s">
        <v>90</v>
      </c>
      <c r="H12" t="s">
        <v>53</v>
      </c>
      <c r="I12" t="s">
        <v>91</v>
      </c>
      <c r="J12" t="s">
        <v>18</v>
      </c>
      <c r="K12" t="s">
        <v>19</v>
      </c>
    </row>
    <row r="13" spans="1:11" x14ac:dyDescent="0.3">
      <c r="A13" t="s">
        <v>54</v>
      </c>
      <c r="B13" t="s">
        <v>13</v>
      </c>
      <c r="C13" t="s">
        <v>14</v>
      </c>
      <c r="D13" t="s">
        <v>15</v>
      </c>
      <c r="E13" t="s">
        <v>55</v>
      </c>
      <c r="F13" t="s">
        <v>89</v>
      </c>
      <c r="G13" t="s">
        <v>92</v>
      </c>
      <c r="H13" t="s">
        <v>56</v>
      </c>
      <c r="I13" t="s">
        <v>93</v>
      </c>
      <c r="J13" t="s">
        <v>18</v>
      </c>
      <c r="K13" t="s">
        <v>19</v>
      </c>
    </row>
    <row r="14" spans="1:11" x14ac:dyDescent="0.3">
      <c r="A14" t="s">
        <v>57</v>
      </c>
      <c r="B14" t="s">
        <v>13</v>
      </c>
      <c r="C14" t="s">
        <v>14</v>
      </c>
      <c r="D14" t="s">
        <v>15</v>
      </c>
      <c r="E14" t="s">
        <v>58</v>
      </c>
      <c r="F14" t="s">
        <v>94</v>
      </c>
      <c r="G14" t="s">
        <v>95</v>
      </c>
      <c r="H14" t="s">
        <v>59</v>
      </c>
      <c r="I14" t="s">
        <v>96</v>
      </c>
      <c r="J14" t="s">
        <v>18</v>
      </c>
      <c r="K14" t="s">
        <v>19</v>
      </c>
    </row>
    <row r="15" spans="1:11" x14ac:dyDescent="0.3">
      <c r="A15" t="s">
        <v>60</v>
      </c>
      <c r="B15" t="s">
        <v>13</v>
      </c>
      <c r="C15" t="s">
        <v>14</v>
      </c>
      <c r="D15" t="s">
        <v>15</v>
      </c>
      <c r="E15" t="s">
        <v>61</v>
      </c>
      <c r="F15" t="s">
        <v>97</v>
      </c>
      <c r="G15" t="s">
        <v>98</v>
      </c>
      <c r="H15" t="s">
        <v>62</v>
      </c>
      <c r="I15" t="s">
        <v>99</v>
      </c>
      <c r="J15" t="s">
        <v>18</v>
      </c>
      <c r="K15" t="s">
        <v>19</v>
      </c>
    </row>
    <row r="16" spans="1:11" x14ac:dyDescent="0.3">
      <c r="A16" t="s">
        <v>63</v>
      </c>
      <c r="B16" t="s">
        <v>13</v>
      </c>
      <c r="C16" t="s">
        <v>14</v>
      </c>
      <c r="D16" t="s">
        <v>15</v>
      </c>
      <c r="E16" t="s">
        <v>64</v>
      </c>
      <c r="F16" t="s">
        <v>100</v>
      </c>
      <c r="G16" t="s">
        <v>101</v>
      </c>
      <c r="H16" t="s">
        <v>59</v>
      </c>
      <c r="I16" t="s">
        <v>202</v>
      </c>
      <c r="J16" t="s">
        <v>18</v>
      </c>
      <c r="K16" t="s">
        <v>19</v>
      </c>
    </row>
    <row r="17" spans="1:11" x14ac:dyDescent="0.3">
      <c r="A17" t="s">
        <v>65</v>
      </c>
      <c r="B17" t="s">
        <v>13</v>
      </c>
      <c r="C17" t="s">
        <v>14</v>
      </c>
      <c r="D17" t="s">
        <v>66</v>
      </c>
      <c r="E17" t="s">
        <v>67</v>
      </c>
      <c r="F17" t="s">
        <v>102</v>
      </c>
      <c r="G17" t="s">
        <v>103</v>
      </c>
      <c r="H17" t="s">
        <v>70</v>
      </c>
      <c r="I17" t="s">
        <v>104</v>
      </c>
      <c r="J17" t="s">
        <v>18</v>
      </c>
      <c r="K17" t="s">
        <v>19</v>
      </c>
    </row>
    <row r="18" spans="1:11" x14ac:dyDescent="0.3">
      <c r="A18" t="s">
        <v>68</v>
      </c>
      <c r="B18" t="s">
        <v>13</v>
      </c>
      <c r="C18" t="s">
        <v>14</v>
      </c>
      <c r="D18" t="s">
        <v>66</v>
      </c>
      <c r="E18" t="s">
        <v>69</v>
      </c>
      <c r="F18" t="s">
        <v>105</v>
      </c>
      <c r="G18" t="s">
        <v>106</v>
      </c>
      <c r="H18" t="s">
        <v>70</v>
      </c>
      <c r="I18" t="s">
        <v>107</v>
      </c>
      <c r="J18" t="s">
        <v>25</v>
      </c>
      <c r="K18" t="s">
        <v>19</v>
      </c>
    </row>
    <row r="19" spans="1:11" x14ac:dyDescent="0.3">
      <c r="A19" t="s">
        <v>71</v>
      </c>
      <c r="B19" t="s">
        <v>13</v>
      </c>
      <c r="C19" t="s">
        <v>14</v>
      </c>
      <c r="D19" t="s">
        <v>66</v>
      </c>
      <c r="E19" t="s">
        <v>72</v>
      </c>
      <c r="F19" t="s">
        <v>108</v>
      </c>
      <c r="G19" t="s">
        <v>106</v>
      </c>
      <c r="H19" t="s">
        <v>70</v>
      </c>
      <c r="I19" t="s">
        <v>109</v>
      </c>
      <c r="J19" t="s">
        <v>25</v>
      </c>
      <c r="K19" t="s">
        <v>19</v>
      </c>
    </row>
    <row r="20" spans="1:11" x14ac:dyDescent="0.3">
      <c r="A20" t="s">
        <v>110</v>
      </c>
      <c r="B20" t="s">
        <v>13</v>
      </c>
      <c r="C20" t="s">
        <v>14</v>
      </c>
      <c r="D20" t="s">
        <v>66</v>
      </c>
      <c r="E20" t="s">
        <v>111</v>
      </c>
      <c r="F20" t="s">
        <v>89</v>
      </c>
      <c r="G20" t="s">
        <v>106</v>
      </c>
      <c r="H20" t="s">
        <v>70</v>
      </c>
      <c r="I20" t="s">
        <v>112</v>
      </c>
      <c r="J20" t="s">
        <v>25</v>
      </c>
      <c r="K20" t="s">
        <v>19</v>
      </c>
    </row>
    <row r="21" spans="1:11" x14ac:dyDescent="0.3">
      <c r="A21" t="s">
        <v>113</v>
      </c>
      <c r="B21" t="s">
        <v>13</v>
      </c>
      <c r="C21" t="s">
        <v>14</v>
      </c>
      <c r="D21" t="s">
        <v>66</v>
      </c>
      <c r="E21" t="s">
        <v>114</v>
      </c>
      <c r="F21" t="s">
        <v>115</v>
      </c>
      <c r="G21" t="s">
        <v>116</v>
      </c>
      <c r="H21" t="s">
        <v>117</v>
      </c>
      <c r="I21" t="s">
        <v>152</v>
      </c>
      <c r="J21" t="s">
        <v>25</v>
      </c>
      <c r="K21" t="s">
        <v>19</v>
      </c>
    </row>
    <row r="22" spans="1:11" x14ac:dyDescent="0.3">
      <c r="A22" t="s">
        <v>118</v>
      </c>
      <c r="B22" t="s">
        <v>13</v>
      </c>
      <c r="C22" t="s">
        <v>119</v>
      </c>
      <c r="D22" t="s">
        <v>15</v>
      </c>
      <c r="E22" t="s">
        <v>120</v>
      </c>
      <c r="F22" t="s">
        <v>121</v>
      </c>
      <c r="G22" t="s">
        <v>122</v>
      </c>
      <c r="H22" t="s">
        <v>123</v>
      </c>
      <c r="I22" t="s">
        <v>124</v>
      </c>
      <c r="J22" t="s">
        <v>18</v>
      </c>
      <c r="K22" t="s">
        <v>19</v>
      </c>
    </row>
    <row r="23" spans="1:11" x14ac:dyDescent="0.3">
      <c r="A23" t="s">
        <v>125</v>
      </c>
      <c r="B23" t="s">
        <v>13</v>
      </c>
      <c r="C23" t="s">
        <v>119</v>
      </c>
      <c r="D23" t="s">
        <v>15</v>
      </c>
      <c r="E23" t="s">
        <v>126</v>
      </c>
      <c r="F23" t="s">
        <v>121</v>
      </c>
      <c r="G23" t="s">
        <v>153</v>
      </c>
      <c r="H23" t="s">
        <v>154</v>
      </c>
      <c r="I23" t="s">
        <v>127</v>
      </c>
      <c r="J23" t="s">
        <v>25</v>
      </c>
      <c r="K23" t="s">
        <v>19</v>
      </c>
    </row>
    <row r="24" spans="1:11" x14ac:dyDescent="0.3">
      <c r="A24" t="s">
        <v>128</v>
      </c>
      <c r="B24" t="s">
        <v>13</v>
      </c>
      <c r="C24" t="s">
        <v>129</v>
      </c>
      <c r="D24" t="s">
        <v>66</v>
      </c>
      <c r="E24" t="s">
        <v>130</v>
      </c>
      <c r="F24" t="s">
        <v>131</v>
      </c>
      <c r="G24" t="s">
        <v>132</v>
      </c>
      <c r="H24" t="s">
        <v>155</v>
      </c>
      <c r="I24" t="s">
        <v>133</v>
      </c>
      <c r="J24" t="s">
        <v>18</v>
      </c>
      <c r="K24" t="s">
        <v>19</v>
      </c>
    </row>
    <row r="25" spans="1:11" x14ac:dyDescent="0.3">
      <c r="A25" t="s">
        <v>134</v>
      </c>
      <c r="B25" t="s">
        <v>13</v>
      </c>
      <c r="C25" t="s">
        <v>129</v>
      </c>
      <c r="D25" t="s">
        <v>66</v>
      </c>
      <c r="E25" t="s">
        <v>135</v>
      </c>
      <c r="F25" t="s">
        <v>121</v>
      </c>
      <c r="G25" t="s">
        <v>136</v>
      </c>
      <c r="H25" t="s">
        <v>156</v>
      </c>
      <c r="I25" t="s">
        <v>137</v>
      </c>
      <c r="J25" t="s">
        <v>25</v>
      </c>
      <c r="K25" t="s">
        <v>19</v>
      </c>
    </row>
    <row r="26" spans="1:11" x14ac:dyDescent="0.3">
      <c r="A26" t="s">
        <v>138</v>
      </c>
      <c r="B26" t="s">
        <v>13</v>
      </c>
      <c r="C26" t="s">
        <v>139</v>
      </c>
      <c r="D26" t="s">
        <v>66</v>
      </c>
      <c r="E26" t="s">
        <v>140</v>
      </c>
      <c r="F26" t="s">
        <v>131</v>
      </c>
      <c r="G26" t="s">
        <v>141</v>
      </c>
      <c r="H26" t="s">
        <v>70</v>
      </c>
      <c r="I26" t="s">
        <v>157</v>
      </c>
      <c r="J26" t="s">
        <v>18</v>
      </c>
      <c r="K26" t="s">
        <v>19</v>
      </c>
    </row>
    <row r="27" spans="1:11" x14ac:dyDescent="0.3">
      <c r="A27" t="s">
        <v>142</v>
      </c>
      <c r="B27" t="s">
        <v>13</v>
      </c>
      <c r="C27" t="s">
        <v>139</v>
      </c>
      <c r="D27" t="s">
        <v>66</v>
      </c>
      <c r="E27" t="s">
        <v>143</v>
      </c>
      <c r="F27" t="s">
        <v>144</v>
      </c>
      <c r="G27" t="s">
        <v>145</v>
      </c>
      <c r="H27" t="s">
        <v>70</v>
      </c>
      <c r="I27" t="s">
        <v>146</v>
      </c>
      <c r="J27" t="s">
        <v>18</v>
      </c>
      <c r="K27" t="s">
        <v>19</v>
      </c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9B249-1455-4465-8888-A946B8483E8D}">
  <dimension ref="A1:G26"/>
  <sheetViews>
    <sheetView topLeftCell="B1" workbookViewId="0">
      <selection activeCell="F1" sqref="F1"/>
    </sheetView>
  </sheetViews>
  <sheetFormatPr defaultRowHeight="14.4" x14ac:dyDescent="0.3"/>
  <cols>
    <col min="1" max="1" width="30.44140625" customWidth="1"/>
    <col min="2" max="2" width="12.6640625" customWidth="1"/>
    <col min="3" max="3" width="64.77734375" customWidth="1"/>
    <col min="4" max="4" width="64.88671875" customWidth="1"/>
    <col min="5" max="5" width="53.6640625" customWidth="1"/>
    <col min="6" max="6" width="17.77734375" customWidth="1"/>
    <col min="7" max="7" width="33.88671875" customWidth="1"/>
  </cols>
  <sheetData>
    <row r="1" spans="1:7" x14ac:dyDescent="0.3">
      <c r="A1" t="s">
        <v>1</v>
      </c>
      <c r="B1" t="s">
        <v>3</v>
      </c>
      <c r="C1" t="s">
        <v>4</v>
      </c>
      <c r="D1" t="s">
        <v>158</v>
      </c>
      <c r="E1" t="s">
        <v>159</v>
      </c>
      <c r="F1" t="s">
        <v>160</v>
      </c>
      <c r="G1" t="s">
        <v>161</v>
      </c>
    </row>
    <row r="2" spans="1:7" x14ac:dyDescent="0.3">
      <c r="A2" t="s">
        <v>12</v>
      </c>
      <c r="B2" t="s">
        <v>14</v>
      </c>
      <c r="C2" t="s">
        <v>15</v>
      </c>
      <c r="D2" t="s">
        <v>162</v>
      </c>
      <c r="E2" t="s">
        <v>163</v>
      </c>
      <c r="F2">
        <v>200</v>
      </c>
      <c r="G2" t="s">
        <v>164</v>
      </c>
    </row>
    <row r="3" spans="1:7" x14ac:dyDescent="0.3">
      <c r="A3" t="s">
        <v>20</v>
      </c>
      <c r="B3" t="s">
        <v>14</v>
      </c>
      <c r="C3" t="s">
        <v>15</v>
      </c>
      <c r="D3" t="s">
        <v>162</v>
      </c>
      <c r="E3" t="s">
        <v>163</v>
      </c>
      <c r="F3">
        <v>200</v>
      </c>
      <c r="G3" t="s">
        <v>165</v>
      </c>
    </row>
    <row r="4" spans="1:7" x14ac:dyDescent="0.3">
      <c r="A4" t="s">
        <v>26</v>
      </c>
      <c r="B4" t="s">
        <v>14</v>
      </c>
      <c r="C4" t="s">
        <v>15</v>
      </c>
      <c r="D4" t="s">
        <v>162</v>
      </c>
      <c r="E4" t="s">
        <v>163</v>
      </c>
      <c r="F4">
        <v>200</v>
      </c>
      <c r="G4" t="s">
        <v>166</v>
      </c>
    </row>
    <row r="5" spans="1:7" x14ac:dyDescent="0.3">
      <c r="A5" t="s">
        <v>29</v>
      </c>
      <c r="B5" t="s">
        <v>14</v>
      </c>
      <c r="C5" t="s">
        <v>15</v>
      </c>
      <c r="D5" t="s">
        <v>162</v>
      </c>
      <c r="E5" t="s">
        <v>163</v>
      </c>
      <c r="F5">
        <v>200</v>
      </c>
      <c r="G5" t="s">
        <v>167</v>
      </c>
    </row>
    <row r="6" spans="1:7" x14ac:dyDescent="0.3">
      <c r="A6" t="s">
        <v>32</v>
      </c>
      <c r="B6" t="s">
        <v>14</v>
      </c>
      <c r="C6" t="s">
        <v>15</v>
      </c>
      <c r="D6" t="s">
        <v>162</v>
      </c>
      <c r="E6" t="s">
        <v>163</v>
      </c>
      <c r="F6">
        <v>200</v>
      </c>
      <c r="G6" t="s">
        <v>168</v>
      </c>
    </row>
    <row r="7" spans="1:7" x14ac:dyDescent="0.3">
      <c r="A7" t="s">
        <v>37</v>
      </c>
      <c r="B7" t="s">
        <v>14</v>
      </c>
      <c r="C7" t="s">
        <v>169</v>
      </c>
      <c r="D7" t="s">
        <v>162</v>
      </c>
      <c r="E7" t="s">
        <v>163</v>
      </c>
      <c r="F7">
        <v>200</v>
      </c>
      <c r="G7" t="s">
        <v>170</v>
      </c>
    </row>
    <row r="8" spans="1:7" x14ac:dyDescent="0.3">
      <c r="A8" t="s">
        <v>39</v>
      </c>
      <c r="B8" t="s">
        <v>14</v>
      </c>
      <c r="C8" t="s">
        <v>171</v>
      </c>
      <c r="D8" t="s">
        <v>162</v>
      </c>
      <c r="E8" t="s">
        <v>163</v>
      </c>
      <c r="F8">
        <v>200</v>
      </c>
      <c r="G8" t="s">
        <v>172</v>
      </c>
    </row>
    <row r="9" spans="1:7" x14ac:dyDescent="0.3">
      <c r="A9" t="s">
        <v>42</v>
      </c>
      <c r="B9" t="s">
        <v>14</v>
      </c>
      <c r="C9" t="s">
        <v>173</v>
      </c>
      <c r="D9" t="s">
        <v>162</v>
      </c>
      <c r="E9" t="s">
        <v>163</v>
      </c>
      <c r="F9">
        <v>200</v>
      </c>
      <c r="G9" t="s">
        <v>174</v>
      </c>
    </row>
    <row r="10" spans="1:7" x14ac:dyDescent="0.3">
      <c r="A10" t="s">
        <v>47</v>
      </c>
      <c r="B10" t="s">
        <v>14</v>
      </c>
      <c r="C10" t="s">
        <v>175</v>
      </c>
      <c r="D10" t="s">
        <v>162</v>
      </c>
      <c r="E10" t="s">
        <v>163</v>
      </c>
      <c r="F10">
        <v>200</v>
      </c>
      <c r="G10" t="s">
        <v>164</v>
      </c>
    </row>
    <row r="11" spans="1:7" x14ac:dyDescent="0.3">
      <c r="A11" t="s">
        <v>51</v>
      </c>
      <c r="B11" t="s">
        <v>14</v>
      </c>
      <c r="C11" t="s">
        <v>176</v>
      </c>
      <c r="D11" t="s">
        <v>162</v>
      </c>
      <c r="E11" t="s">
        <v>163</v>
      </c>
      <c r="F11">
        <v>200</v>
      </c>
      <c r="G11" t="s">
        <v>164</v>
      </c>
    </row>
    <row r="12" spans="1:7" x14ac:dyDescent="0.3">
      <c r="A12" t="s">
        <v>54</v>
      </c>
      <c r="B12" t="s">
        <v>14</v>
      </c>
      <c r="C12" t="s">
        <v>177</v>
      </c>
      <c r="D12" t="s">
        <v>162</v>
      </c>
      <c r="E12" t="s">
        <v>163</v>
      </c>
      <c r="F12">
        <v>200</v>
      </c>
      <c r="G12" t="s">
        <v>164</v>
      </c>
    </row>
    <row r="13" spans="1:7" x14ac:dyDescent="0.3">
      <c r="A13" t="s">
        <v>57</v>
      </c>
      <c r="B13" t="s">
        <v>14</v>
      </c>
      <c r="C13" t="s">
        <v>178</v>
      </c>
      <c r="D13" t="s">
        <v>162</v>
      </c>
      <c r="E13" t="s">
        <v>163</v>
      </c>
      <c r="F13">
        <v>200</v>
      </c>
      <c r="G13" t="s">
        <v>179</v>
      </c>
    </row>
    <row r="14" spans="1:7" x14ac:dyDescent="0.3">
      <c r="A14" t="s">
        <v>60</v>
      </c>
      <c r="B14" t="s">
        <v>14</v>
      </c>
      <c r="C14" t="s">
        <v>180</v>
      </c>
      <c r="D14" t="s">
        <v>162</v>
      </c>
      <c r="E14" t="s">
        <v>163</v>
      </c>
      <c r="F14">
        <v>200</v>
      </c>
      <c r="G14" t="s">
        <v>181</v>
      </c>
    </row>
    <row r="15" spans="1:7" x14ac:dyDescent="0.3">
      <c r="A15" t="s">
        <v>63</v>
      </c>
      <c r="B15" t="s">
        <v>14</v>
      </c>
      <c r="C15" t="s">
        <v>182</v>
      </c>
      <c r="D15" t="s">
        <v>162</v>
      </c>
      <c r="E15" t="s">
        <v>163</v>
      </c>
      <c r="F15">
        <v>200</v>
      </c>
      <c r="G15" t="s">
        <v>164</v>
      </c>
    </row>
    <row r="16" spans="1:7" x14ac:dyDescent="0.3">
      <c r="A16" t="s">
        <v>65</v>
      </c>
      <c r="B16" t="s">
        <v>14</v>
      </c>
      <c r="C16" t="s">
        <v>183</v>
      </c>
      <c r="D16" t="s">
        <v>162</v>
      </c>
      <c r="E16" t="s">
        <v>163</v>
      </c>
      <c r="F16">
        <v>200</v>
      </c>
      <c r="G16" t="s">
        <v>184</v>
      </c>
    </row>
    <row r="17" spans="1:7" x14ac:dyDescent="0.3">
      <c r="A17" t="s">
        <v>68</v>
      </c>
      <c r="B17" t="s">
        <v>14</v>
      </c>
      <c r="C17" t="s">
        <v>183</v>
      </c>
      <c r="D17" t="s">
        <v>162</v>
      </c>
      <c r="E17" t="s">
        <v>163</v>
      </c>
      <c r="F17">
        <v>200</v>
      </c>
      <c r="G17" t="s">
        <v>185</v>
      </c>
    </row>
    <row r="18" spans="1:7" x14ac:dyDescent="0.3">
      <c r="A18" t="s">
        <v>71</v>
      </c>
      <c r="B18" t="s">
        <v>14</v>
      </c>
      <c r="C18" t="s">
        <v>183</v>
      </c>
      <c r="D18" t="s">
        <v>162</v>
      </c>
      <c r="E18" t="s">
        <v>163</v>
      </c>
      <c r="F18">
        <v>200</v>
      </c>
      <c r="G18" t="s">
        <v>186</v>
      </c>
    </row>
    <row r="19" spans="1:7" x14ac:dyDescent="0.3">
      <c r="A19" t="s">
        <v>110</v>
      </c>
      <c r="B19" t="s">
        <v>14</v>
      </c>
      <c r="C19" t="s">
        <v>183</v>
      </c>
      <c r="D19" t="s">
        <v>162</v>
      </c>
      <c r="E19" t="s">
        <v>163</v>
      </c>
      <c r="F19">
        <v>200</v>
      </c>
      <c r="G19" t="s">
        <v>167</v>
      </c>
    </row>
    <row r="20" spans="1:7" x14ac:dyDescent="0.3">
      <c r="A20" t="s">
        <v>113</v>
      </c>
      <c r="B20" t="s">
        <v>14</v>
      </c>
      <c r="C20" t="s">
        <v>187</v>
      </c>
      <c r="D20" t="s">
        <v>162</v>
      </c>
      <c r="E20" t="s">
        <v>163</v>
      </c>
      <c r="F20">
        <v>404</v>
      </c>
      <c r="G20" t="s">
        <v>188</v>
      </c>
    </row>
    <row r="21" spans="1:7" x14ac:dyDescent="0.3">
      <c r="A21" t="s">
        <v>118</v>
      </c>
      <c r="B21" t="s">
        <v>119</v>
      </c>
      <c r="C21" t="s">
        <v>15</v>
      </c>
      <c r="D21" t="s">
        <v>189</v>
      </c>
      <c r="E21" t="s">
        <v>190</v>
      </c>
      <c r="F21">
        <v>201</v>
      </c>
      <c r="G21" t="s">
        <v>191</v>
      </c>
    </row>
    <row r="22" spans="1:7" x14ac:dyDescent="0.3">
      <c r="A22" t="s">
        <v>125</v>
      </c>
      <c r="B22" t="s">
        <v>119</v>
      </c>
      <c r="C22" t="s">
        <v>15</v>
      </c>
      <c r="D22" t="s">
        <v>189</v>
      </c>
      <c r="E22" t="s">
        <v>192</v>
      </c>
      <c r="F22">
        <v>400</v>
      </c>
      <c r="G22" t="s">
        <v>193</v>
      </c>
    </row>
    <row r="23" spans="1:7" x14ac:dyDescent="0.3">
      <c r="A23" t="s">
        <v>128</v>
      </c>
      <c r="B23" t="s">
        <v>129</v>
      </c>
      <c r="C23" t="s">
        <v>183</v>
      </c>
      <c r="D23" t="s">
        <v>189</v>
      </c>
      <c r="E23" t="s">
        <v>194</v>
      </c>
      <c r="F23">
        <v>200</v>
      </c>
      <c r="G23" t="s">
        <v>195</v>
      </c>
    </row>
    <row r="24" spans="1:7" x14ac:dyDescent="0.3">
      <c r="A24" t="s">
        <v>134</v>
      </c>
      <c r="B24" t="s">
        <v>129</v>
      </c>
      <c r="C24" t="s">
        <v>187</v>
      </c>
      <c r="D24" t="s">
        <v>189</v>
      </c>
      <c r="E24" t="s">
        <v>194</v>
      </c>
      <c r="F24">
        <v>404</v>
      </c>
      <c r="G24" t="s">
        <v>188</v>
      </c>
    </row>
    <row r="25" spans="1:7" x14ac:dyDescent="0.3">
      <c r="A25" t="s">
        <v>138</v>
      </c>
      <c r="B25" t="s">
        <v>139</v>
      </c>
      <c r="C25" t="s">
        <v>183</v>
      </c>
      <c r="D25" t="s">
        <v>196</v>
      </c>
      <c r="E25" t="s">
        <v>163</v>
      </c>
      <c r="F25">
        <v>200</v>
      </c>
      <c r="G25" t="s">
        <v>197</v>
      </c>
    </row>
    <row r="26" spans="1:7" x14ac:dyDescent="0.3">
      <c r="A26" t="s">
        <v>142</v>
      </c>
      <c r="B26" t="s">
        <v>139</v>
      </c>
      <c r="C26" t="s">
        <v>183</v>
      </c>
      <c r="D26" t="s">
        <v>198</v>
      </c>
      <c r="E26" t="s">
        <v>163</v>
      </c>
      <c r="F26">
        <v>403</v>
      </c>
      <c r="G26" t="s"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C63D4-393A-4871-AE63-6C3C278E275A}">
  <dimension ref="A1:J26"/>
  <sheetViews>
    <sheetView tabSelected="1" workbookViewId="0">
      <selection activeCell="J2" sqref="J2"/>
    </sheetView>
  </sheetViews>
  <sheetFormatPr defaultRowHeight="14.4" x14ac:dyDescent="0.3"/>
  <cols>
    <col min="1" max="1" width="24.109375" customWidth="1"/>
    <col min="2" max="2" width="38.44140625" customWidth="1"/>
    <col min="6" max="6" width="17" customWidth="1"/>
    <col min="7" max="7" width="24.44140625" customWidth="1"/>
    <col min="10" max="10" width="15.21875" customWidth="1"/>
  </cols>
  <sheetData>
    <row r="1" spans="1:10" x14ac:dyDescent="0.3">
      <c r="A1" t="s">
        <v>1</v>
      </c>
      <c r="B1" t="s">
        <v>5</v>
      </c>
      <c r="C1" t="s">
        <v>3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</row>
    <row r="2" spans="1:10" x14ac:dyDescent="0.3">
      <c r="A2" t="s">
        <v>12</v>
      </c>
      <c r="B2" t="s">
        <v>16</v>
      </c>
      <c r="C2" t="s">
        <v>14</v>
      </c>
      <c r="D2">
        <v>200</v>
      </c>
      <c r="H2" t="s">
        <v>19</v>
      </c>
    </row>
    <row r="3" spans="1:10" x14ac:dyDescent="0.3">
      <c r="A3" t="s">
        <v>20</v>
      </c>
      <c r="B3" t="s">
        <v>21</v>
      </c>
      <c r="C3" t="s">
        <v>14</v>
      </c>
      <c r="D3">
        <v>200</v>
      </c>
      <c r="H3" t="s">
        <v>19</v>
      </c>
    </row>
    <row r="4" spans="1:10" x14ac:dyDescent="0.3">
      <c r="A4" t="s">
        <v>26</v>
      </c>
      <c r="B4" t="s">
        <v>27</v>
      </c>
      <c r="C4" t="s">
        <v>14</v>
      </c>
      <c r="D4">
        <v>200</v>
      </c>
      <c r="H4" t="s">
        <v>19</v>
      </c>
    </row>
    <row r="5" spans="1:10" x14ac:dyDescent="0.3">
      <c r="A5" t="s">
        <v>29</v>
      </c>
      <c r="B5" t="s">
        <v>30</v>
      </c>
      <c r="C5" t="s">
        <v>14</v>
      </c>
      <c r="D5">
        <v>200</v>
      </c>
      <c r="H5" t="s">
        <v>19</v>
      </c>
    </row>
    <row r="6" spans="1:10" x14ac:dyDescent="0.3">
      <c r="A6" t="s">
        <v>32</v>
      </c>
      <c r="B6" t="s">
        <v>33</v>
      </c>
      <c r="C6" t="s">
        <v>14</v>
      </c>
      <c r="D6">
        <v>200</v>
      </c>
      <c r="H6" t="s">
        <v>19</v>
      </c>
    </row>
    <row r="7" spans="1:10" x14ac:dyDescent="0.3">
      <c r="A7" t="s">
        <v>37</v>
      </c>
      <c r="B7" t="s">
        <v>38</v>
      </c>
      <c r="C7" t="s">
        <v>14</v>
      </c>
      <c r="D7">
        <v>200</v>
      </c>
      <c r="H7" t="s">
        <v>19</v>
      </c>
    </row>
    <row r="8" spans="1:10" x14ac:dyDescent="0.3">
      <c r="A8" t="s">
        <v>39</v>
      </c>
      <c r="B8" t="s">
        <v>40</v>
      </c>
      <c r="C8" t="s">
        <v>14</v>
      </c>
      <c r="D8">
        <v>200</v>
      </c>
      <c r="H8" t="s">
        <v>19</v>
      </c>
    </row>
    <row r="9" spans="1:10" x14ac:dyDescent="0.3">
      <c r="A9" t="s">
        <v>42</v>
      </c>
      <c r="B9" t="s">
        <v>43</v>
      </c>
      <c r="C9" t="s">
        <v>14</v>
      </c>
      <c r="D9">
        <v>200</v>
      </c>
      <c r="H9" t="s">
        <v>19</v>
      </c>
    </row>
    <row r="10" spans="1:10" x14ac:dyDescent="0.3">
      <c r="A10" t="s">
        <v>47</v>
      </c>
      <c r="B10" t="s">
        <v>48</v>
      </c>
      <c r="C10" t="s">
        <v>14</v>
      </c>
      <c r="D10">
        <v>200</v>
      </c>
      <c r="H10" t="s">
        <v>19</v>
      </c>
    </row>
    <row r="11" spans="1:10" x14ac:dyDescent="0.3">
      <c r="A11" t="s">
        <v>51</v>
      </c>
      <c r="B11" t="s">
        <v>52</v>
      </c>
      <c r="C11" t="s">
        <v>14</v>
      </c>
      <c r="D11">
        <v>200</v>
      </c>
      <c r="H11" t="s">
        <v>19</v>
      </c>
    </row>
    <row r="12" spans="1:10" x14ac:dyDescent="0.3">
      <c r="A12" t="s">
        <v>54</v>
      </c>
      <c r="B12" t="s">
        <v>55</v>
      </c>
      <c r="C12" t="s">
        <v>14</v>
      </c>
      <c r="D12">
        <v>200</v>
      </c>
      <c r="H12" t="s">
        <v>19</v>
      </c>
    </row>
    <row r="13" spans="1:10" x14ac:dyDescent="0.3">
      <c r="A13" t="s">
        <v>57</v>
      </c>
      <c r="B13" t="s">
        <v>58</v>
      </c>
      <c r="C13" t="s">
        <v>14</v>
      </c>
      <c r="D13">
        <v>200</v>
      </c>
      <c r="H13" t="s">
        <v>19</v>
      </c>
    </row>
    <row r="14" spans="1:10" x14ac:dyDescent="0.3">
      <c r="A14" t="s">
        <v>60</v>
      </c>
      <c r="B14" t="s">
        <v>61</v>
      </c>
      <c r="C14" t="s">
        <v>14</v>
      </c>
      <c r="D14">
        <v>200</v>
      </c>
      <c r="H14" t="s">
        <v>19</v>
      </c>
    </row>
    <row r="15" spans="1:10" x14ac:dyDescent="0.3">
      <c r="A15" t="s">
        <v>63</v>
      </c>
      <c r="B15" t="s">
        <v>64</v>
      </c>
      <c r="C15" t="s">
        <v>14</v>
      </c>
      <c r="D15">
        <v>200</v>
      </c>
      <c r="H15" t="s">
        <v>19</v>
      </c>
    </row>
    <row r="16" spans="1:10" x14ac:dyDescent="0.3">
      <c r="A16" t="s">
        <v>65</v>
      </c>
      <c r="B16" t="s">
        <v>67</v>
      </c>
      <c r="C16" t="s">
        <v>14</v>
      </c>
      <c r="D16">
        <v>200</v>
      </c>
      <c r="H16" t="s">
        <v>19</v>
      </c>
    </row>
    <row r="17" spans="1:8" x14ac:dyDescent="0.3">
      <c r="A17" t="s">
        <v>68</v>
      </c>
      <c r="B17" t="s">
        <v>69</v>
      </c>
      <c r="C17" t="s">
        <v>14</v>
      </c>
      <c r="D17">
        <v>200</v>
      </c>
      <c r="H17" t="s">
        <v>19</v>
      </c>
    </row>
    <row r="18" spans="1:8" x14ac:dyDescent="0.3">
      <c r="A18" t="s">
        <v>71</v>
      </c>
      <c r="B18" t="s">
        <v>72</v>
      </c>
      <c r="C18" t="s">
        <v>14</v>
      </c>
      <c r="D18">
        <v>200</v>
      </c>
      <c r="H18" t="s">
        <v>19</v>
      </c>
    </row>
    <row r="19" spans="1:8" x14ac:dyDescent="0.3">
      <c r="A19" t="s">
        <v>110</v>
      </c>
      <c r="B19" t="s">
        <v>111</v>
      </c>
      <c r="C19" t="s">
        <v>14</v>
      </c>
      <c r="D19">
        <v>200</v>
      </c>
      <c r="H19" t="s">
        <v>19</v>
      </c>
    </row>
    <row r="20" spans="1:8" x14ac:dyDescent="0.3">
      <c r="A20" t="s">
        <v>113</v>
      </c>
      <c r="B20" t="s">
        <v>114</v>
      </c>
      <c r="C20" t="s">
        <v>14</v>
      </c>
      <c r="D20">
        <v>404</v>
      </c>
      <c r="H20" t="s">
        <v>19</v>
      </c>
    </row>
    <row r="21" spans="1:8" x14ac:dyDescent="0.3">
      <c r="A21" t="s">
        <v>118</v>
      </c>
      <c r="B21" t="s">
        <v>120</v>
      </c>
      <c r="C21" t="s">
        <v>119</v>
      </c>
      <c r="D21">
        <v>201</v>
      </c>
      <c r="H21" t="s">
        <v>19</v>
      </c>
    </row>
    <row r="22" spans="1:8" x14ac:dyDescent="0.3">
      <c r="A22" t="s">
        <v>125</v>
      </c>
      <c r="B22" t="s">
        <v>126</v>
      </c>
      <c r="C22" t="s">
        <v>119</v>
      </c>
      <c r="D22">
        <v>400</v>
      </c>
      <c r="H22" t="s">
        <v>19</v>
      </c>
    </row>
    <row r="23" spans="1:8" x14ac:dyDescent="0.3">
      <c r="A23" t="s">
        <v>128</v>
      </c>
      <c r="B23" t="s">
        <v>130</v>
      </c>
      <c r="C23" t="s">
        <v>129</v>
      </c>
      <c r="D23">
        <v>200</v>
      </c>
      <c r="H23" t="s">
        <v>19</v>
      </c>
    </row>
    <row r="24" spans="1:8" x14ac:dyDescent="0.3">
      <c r="A24" t="s">
        <v>134</v>
      </c>
      <c r="B24" t="s">
        <v>135</v>
      </c>
      <c r="C24" t="s">
        <v>129</v>
      </c>
      <c r="D24">
        <v>404</v>
      </c>
      <c r="H24" t="s">
        <v>19</v>
      </c>
    </row>
    <row r="25" spans="1:8" x14ac:dyDescent="0.3">
      <c r="A25" t="s">
        <v>138</v>
      </c>
      <c r="B25" t="s">
        <v>140</v>
      </c>
      <c r="C25" t="s">
        <v>139</v>
      </c>
      <c r="D25">
        <v>200</v>
      </c>
      <c r="H25" t="s">
        <v>19</v>
      </c>
    </row>
    <row r="26" spans="1:8" x14ac:dyDescent="0.3">
      <c r="A26" t="s">
        <v>142</v>
      </c>
      <c r="B26" t="s">
        <v>143</v>
      </c>
      <c r="C26" t="s">
        <v>139</v>
      </c>
      <c r="D26">
        <v>403</v>
      </c>
      <c r="H26" t="s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F9D3-90F6-42CF-9FB3-7ED1F586AFC5}">
  <dimension ref="A1:B13"/>
  <sheetViews>
    <sheetView workbookViewId="0">
      <selection activeCell="D1" sqref="D1"/>
    </sheetView>
  </sheetViews>
  <sheetFormatPr defaultRowHeight="14.4" x14ac:dyDescent="0.3"/>
  <cols>
    <col min="1" max="1" width="19.21875" customWidth="1"/>
    <col min="2" max="2" width="21.44140625" customWidth="1"/>
  </cols>
  <sheetData>
    <row r="1" spans="1:2" ht="16.8" x14ac:dyDescent="0.3">
      <c r="A1" s="23" t="s">
        <v>210</v>
      </c>
      <c r="B1" s="2"/>
    </row>
    <row r="2" spans="1:2" ht="16.8" x14ac:dyDescent="0.3">
      <c r="A2" s="3" t="s">
        <v>147</v>
      </c>
      <c r="B2" s="4">
        <f>COUNTA(Product_TestCases!A3:A27)</f>
        <v>25</v>
      </c>
    </row>
    <row r="3" spans="1:2" ht="16.8" x14ac:dyDescent="0.3">
      <c r="A3" s="5" t="s">
        <v>73</v>
      </c>
      <c r="B3" s="6">
        <f>COUNTIF(Product_TestCases!J3:J27,"High")</f>
        <v>14</v>
      </c>
    </row>
    <row r="4" spans="1:2" ht="16.8" x14ac:dyDescent="0.3">
      <c r="A4" s="7" t="s">
        <v>74</v>
      </c>
      <c r="B4" s="8">
        <f>COUNTIF(Product_TestCases!J3:J27,"Medium")</f>
        <v>9</v>
      </c>
    </row>
    <row r="5" spans="1:2" ht="16.8" x14ac:dyDescent="0.3">
      <c r="A5" s="9" t="s">
        <v>148</v>
      </c>
      <c r="B5" s="10">
        <f>COUNTIF(Product_TestCases!J3:J27,"Low")</f>
        <v>2</v>
      </c>
    </row>
    <row r="6" spans="1:2" ht="16.8" x14ac:dyDescent="0.3">
      <c r="A6" s="11" t="s">
        <v>75</v>
      </c>
      <c r="B6" s="12">
        <f>COUNTIF(Product_TestCases!K3:K27,"Pass")</f>
        <v>0</v>
      </c>
    </row>
    <row r="7" spans="1:2" ht="17.399999999999999" x14ac:dyDescent="0.3">
      <c r="A7" t="s">
        <v>76</v>
      </c>
      <c r="B7" s="24">
        <f>COUNTIF(Product_TestCases!K3:K27,"Fail")</f>
        <v>0</v>
      </c>
    </row>
    <row r="8" spans="1:2" ht="16.8" x14ac:dyDescent="0.3">
      <c r="A8" s="13" t="s">
        <v>19</v>
      </c>
      <c r="B8" s="14">
        <f>COUNTIF(Product_TestCases!K3:K27,"Not Run")</f>
        <v>25</v>
      </c>
    </row>
    <row r="9" spans="1:2" ht="16.8" x14ac:dyDescent="0.3">
      <c r="A9" s="15" t="s">
        <v>77</v>
      </c>
      <c r="B9" s="16">
        <f>COUNTIF(Product_TestCases!C3:C27,"POST")</f>
        <v>2</v>
      </c>
    </row>
    <row r="10" spans="1:2" ht="16.8" x14ac:dyDescent="0.3">
      <c r="A10" s="17" t="s">
        <v>78</v>
      </c>
      <c r="B10" s="18">
        <f>COUNTIF(Product_TestCases!C3:C27,"GET")</f>
        <v>19</v>
      </c>
    </row>
    <row r="11" spans="1:2" ht="16.8" x14ac:dyDescent="0.3">
      <c r="A11" s="19" t="s">
        <v>79</v>
      </c>
      <c r="B11" s="20">
        <f>COUNTIF(Product_TestCases!C3:C27,"PUT")</f>
        <v>2</v>
      </c>
    </row>
    <row r="12" spans="1:2" ht="17.399999999999999" x14ac:dyDescent="0.3">
      <c r="A12" t="s">
        <v>80</v>
      </c>
      <c r="B12" s="24">
        <f>COUNTIF(Product_TestCases!C3:C27,"DELETE")</f>
        <v>2</v>
      </c>
    </row>
    <row r="13" spans="1:2" ht="16.8" x14ac:dyDescent="0.3">
      <c r="A13" s="21" t="s">
        <v>81</v>
      </c>
      <c r="B13" s="22">
        <f>IF(COUNTA(Product_TestCases!A3:A27)&gt;0,(COUNTIF(Product_TestCases!K3:K27,"Pass")/COUNTA(Product_TestCases!A3:A27))*100,0)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4</vt:i4>
      </vt:variant>
    </vt:vector>
  </HeadingPairs>
  <TitlesOfParts>
    <vt:vector size="4" baseType="lpstr">
      <vt:lpstr>Product_TestCases</vt:lpstr>
      <vt:lpstr>API_Reference</vt:lpstr>
      <vt:lpstr>Execution_Log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Minh Vũ Trịnh</cp:lastModifiedBy>
  <dcterms:created xsi:type="dcterms:W3CDTF">2015-06-05T18:17:20Z</dcterms:created>
  <dcterms:modified xsi:type="dcterms:W3CDTF">2026-06-04T20:01:14Z</dcterms:modified>
</cp:coreProperties>
</file>